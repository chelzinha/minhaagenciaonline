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a06604e43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-ME" sheetId="1" r:id="Re23666de71ea4a46"/>
    <x:sheet xmlns:r="http://schemas.openxmlformats.org/officeDocument/2006/relationships" name="01_CONFIG" sheetId="2" r:id="R13f54700cc8b4e39"/>
    <x:sheet xmlns:r="http://schemas.openxmlformats.org/officeDocument/2006/relationships" name="PAC_AVISTA" sheetId="3" r:id="R16a4892f09f14f57"/>
    <x:sheet xmlns:r="http://schemas.openxmlformats.org/officeDocument/2006/relationships" name="SEDEX_AVISTA" sheetId="4" r:id="Rf07cbce4bcd34fbb"/>
    <x:sheet xmlns:r="http://schemas.openxmlformats.org/officeDocument/2006/relationships" name="PAC_APP" sheetId="5" r:id="R3a2dfad5a35e425e"/>
    <x:sheet xmlns:r="http://schemas.openxmlformats.org/officeDocument/2006/relationships" name="SEDEX_APP" sheetId="6" r:id="R0628d62441814a20"/>
    <x:sheet xmlns:r="http://schemas.openxmlformats.org/officeDocument/2006/relationships" name="PAC_PLATINUM" sheetId="7" r:id="R3a57879ef70246b8"/>
    <x:sheet xmlns:r="http://schemas.openxmlformats.org/officeDocument/2006/relationships" name="SEDEX_PLATINUM" sheetId="8" r:id="R7c943685816a4843"/>
    <x:sheet xmlns:r="http://schemas.openxmlformats.org/officeDocument/2006/relationships" name="MINI_PLATINUM" sheetId="9" r:id="Rd7ecbd38c4354afe"/>
    <x:sheet xmlns:r="http://schemas.openxmlformats.org/officeDocument/2006/relationships" name="REGRAS_SERVICOS" sheetId="10" r:id="R14a664e1c5494272"/>
    <x:sheet xmlns:r="http://schemas.openxmlformats.org/officeDocument/2006/relationships" name="MAPA_TRECHOS_CE" sheetId="11" r:id="R97651d25b0ab4b43"/>
    <x:sheet xmlns:r="http://schemas.openxmlformats.org/officeDocument/2006/relationships" name="CLASSIFICACAO_CIDADES" sheetId="12" r:id="R158f6fba6ccb4c3f"/>
    <x:sheet xmlns:r="http://schemas.openxmlformats.org/officeDocument/2006/relationships" name="CAPITAIS_EPLUS" sheetId="13" r:id="R22ccb9c7d803419e"/>
    <x:sheet xmlns:r="http://schemas.openxmlformats.org/officeDocument/2006/relationships" name="CODIGOS_SERVICOS" sheetId="14" r:id="R7536cf92356c4f1a"/>
    <x:sheet xmlns:r="http://schemas.openxmlformats.org/officeDocument/2006/relationships" name="MAPA_CSV" sheetId="15" r:id="R1d96fe073d254800"/>
    <x:sheet xmlns:r="http://schemas.openxmlformats.org/officeDocument/2006/relationships" name="FONTES" sheetId="16" r:id="R8b18bf1dab4d493e"/>
    <x:sheet xmlns:r="http://schemas.openxmlformats.org/officeDocument/2006/relationships" name="TESTES" sheetId="17" r:id="R83bf23f5587647f6"/>
    <x:sheet xmlns:r="http://schemas.openxmlformats.org/officeDocument/2006/relationships" name="02_CONTROLE" sheetId="18" r:id="R4a4d50ab4625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12B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1"/>
      <x:color rgb="FF1721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3B67"/>
      </x:patternFill>
    </x:fill>
    <x:fill>
      <x:patternFill patternType="solid">
        <x:fgColor rgb="FFEAF4FB"/>
      </x:patternFill>
    </x:fill>
    <x:fill>
      <x:patternFill patternType="solid">
        <x:fgColor rgb="FF006BB6"/>
      </x:patternFill>
    </x:fill>
    <x:fill>
      <x:patternFill patternType="solid">
        <x:fgColor rgb="FFFFD400"/>
      </x:patternFill>
    </x:fill>
    <x:fill>
      <x:patternFill patternType="solid">
        <x:fgColor rgb="FFFFF8CC"/>
      </x:patternFill>
    </x:fill>
    <x:fill>
      <x:patternFill patternType="solid">
        <x:fgColor rgb="FFF3F5F7"/>
      </x:patternFill>
    </x:fill>
  </x:fills>
  <x:borders count="30">
    <x:border/>
    <x:border/>
    <x:border>
      <x:left style="thin">
        <x:color rgb="FF003B67"/>
      </x:left>
      <x:top style="thin">
        <x:color rgb="FF003B67"/>
      </x:top>
      <x:bottom style="thin">
        <x:color rgb="FF003B67"/>
      </x:bottom>
    </x:border>
    <x:border>
      <x:right style="thin">
        <x:color rgb="FF003B67"/>
      </x:right>
      <x:top style="thin">
        <x:color rgb="FF003B67"/>
      </x:top>
      <x:bottom style="thin">
        <x:color rgb="FF003B67"/>
      </x:bottom>
    </x:border>
    <x:border>
      <x:left style="thin">
        <x:color rgb="FF003B67"/>
      </x:left>
      <x:top style="thin">
        <x:color rgb="FF003B67"/>
      </x:top>
      <x:bottom style="thin">
        <x:color rgb="FF003B67"/>
      </x:bottom>
    </x:border>
    <x:border>
      <x:right style="thin">
        <x:color rgb="FF003B67"/>
      </x:right>
      <x:top style="thin">
        <x:color rgb="FF003B67"/>
      </x:top>
      <x:bottom style="thin">
        <x:color rgb="FF003B67"/>
      </x:bottom>
    </x:border>
    <x:border>
      <x:left style="hair">
        <x:color rgb="FFD9E0E5"/>
      </x:left>
      <x:top style="hair">
        <x:color rgb="FFD9E0E5"/>
      </x:top>
    </x:border>
    <x:border>
      <x:right style="hair">
        <x:color rgb="FFD9E0E5"/>
      </x:right>
      <x:top style="hair">
        <x:color rgb="FFD9E0E5"/>
      </x:top>
    </x:border>
    <x:border>
      <x:left style="hair">
        <x:color rgb="FFD9E0E5"/>
      </x:left>
    </x:border>
    <x:border>
      <x:right style="hair">
        <x:color rgb="FFD9E0E5"/>
      </x:right>
    </x:border>
    <x:border>
      <x:left style="hair">
        <x:color rgb="FFD9E0E5"/>
      </x:left>
      <x:bottom style="hair">
        <x:color rgb="FFD9E0E5"/>
      </x:bottom>
    </x:border>
    <x:border>
      <x:right style="hair">
        <x:color rgb="FFD9E0E5"/>
      </x:right>
      <x:bottom style="hair">
        <x:color rgb="FFD9E0E5"/>
      </x:bottom>
    </x:border>
    <x:border>
      <x:left style="hair">
        <x:color rgb="FFD9E0E5"/>
      </x:left>
      <x:top style="hair">
        <x:color rgb="FFD9E0E5"/>
      </x:top>
    </x:border>
    <x:border>
      <x:right style="hair">
        <x:color rgb="FFD9E0E5"/>
      </x:right>
      <x:top style="hair">
        <x:color rgb="FFD9E0E5"/>
      </x:top>
    </x:border>
    <x:border>
      <x:left style="hair">
        <x:color rgb="FFD9E0E5"/>
      </x:left>
    </x:border>
    <x:border>
      <x:right style="hair">
        <x:color rgb="FFD9E0E5"/>
      </x:right>
    </x:border>
    <x:border>
      <x:left style="hair">
        <x:color rgb="FFD9E0E5"/>
      </x:left>
      <x:bottom style="hair">
        <x:color rgb="FFD9E0E5"/>
      </x:bottom>
    </x:border>
    <x:border>
      <x:right style="hair">
        <x:color rgb="FFD9E0E5"/>
      </x:right>
      <x:bottom style="hair">
        <x:color rgb="FFD9E0E5"/>
      </x:bottom>
    </x:border>
    <x:border>
      <x:top style="thin">
        <x:color rgb="FF003B67"/>
      </x:top>
      <x:bottom style="thin">
        <x:color rgb="FF003B67"/>
      </x:bottom>
    </x:border>
    <x:border>
      <x:top style="thin">
        <x:color rgb="FF003B67"/>
      </x:top>
      <x:bottom style="thin">
        <x:color rgb="FF003B67"/>
      </x:bottom>
    </x:border>
    <x:border>
      <x:top style="hair">
        <x:color rgb="FFD9E0E5"/>
      </x:top>
    </x:border>
    <x:border>
      <x:bottom style="hair">
        <x:color rgb="FFD9E0E5"/>
      </x:bottom>
    </x:border>
    <x:border>
      <x:top style="hair">
        <x:color rgb="FFD9E0E5"/>
      </x:top>
    </x:border>
    <x:border>
      <x:bottom style="hair">
        <x:color rgb="FFD9E0E5"/>
      </x:bottom>
    </x:border>
    <x:border>
      <x:left style="hair">
        <x:color rgb="FFD9E0E5"/>
      </x:left>
      <x:top style="hair">
        <x:color rgb="FFD9E0E5"/>
      </x:top>
      <x:bottom style="hair">
        <x:color rgb="FFD9E0E5"/>
      </x:bottom>
    </x:border>
    <x:border>
      <x:top style="hair">
        <x:color rgb="FFD9E0E5"/>
      </x:top>
      <x:bottom style="hair">
        <x:color rgb="FFD9E0E5"/>
      </x:bottom>
    </x:border>
    <x:border>
      <x:right style="hair">
        <x:color rgb="FFD9E0E5"/>
      </x:right>
      <x:top style="hair">
        <x:color rgb="FFD9E0E5"/>
      </x:top>
      <x:bottom style="hair">
        <x:color rgb="FFD9E0E5"/>
      </x:bottom>
    </x:border>
    <x:border>
      <x:left style="hair">
        <x:color rgb="FFD9E0E5"/>
      </x:left>
      <x:top style="hair">
        <x:color rgb="FFD9E0E5"/>
      </x:top>
      <x:bottom style="hair">
        <x:color rgb="FFD9E0E5"/>
      </x:bottom>
    </x:border>
    <x:border>
      <x:top style="hair">
        <x:color rgb="FFD9E0E5"/>
      </x:top>
      <x:bottom style="hair">
        <x:color rgb="FFD9E0E5"/>
      </x:bottom>
    </x:border>
    <x:border>
      <x:right style="hair">
        <x:color rgb="FFD9E0E5"/>
      </x:right>
      <x:top style="hair">
        <x:color rgb="FFD9E0E5"/>
      </x:top>
      <x:bottom style="hair">
        <x:color rgb="FFD9E0E5"/>
      </x:bottom>
    </x:border>
  </x:borders>
  <x:cellStyleXfs count="1">
    <x:xf numFmtId="0" fontId="0" fillId="0" borderId="0"/>
  </x:cellStyleXfs>
  <x:cellXfs count="2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/>
    <x:xf numFmtId="0" fontId="3" fillId="4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0" fillId="6" borderId="2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3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7" borderId="6" xfId="0" applyNumberFormat="1" applyFont="1" applyFill="1" applyBorder="1" applyAlignment="1">
      <x:alignment vertical="center" wrapText="1"/>
    </x:xf>
    <x:xf numFmtId="0" fontId="0" fillId="7" borderId="20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2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23" xfId="0" applyNumberFormat="1" applyFont="1" applyFill="1" applyBorder="1" applyAlignment="1">
      <x:alignment vertical="center" wrapText="1"/>
    </x:xf>
    <x:xf numFmtId="201" fontId="0" fillId="0" borderId="2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21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1" fontId="0" fillId="0" borderId="1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23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6" borderId="20" xfId="0" applyNumberFormat="1" applyFont="1" applyFill="1" applyBorder="1" applyAlignment="1">
      <x:alignment vertical="center" wrapText="1"/>
    </x:xf>
    <x:xf numFmtId="201" fontId="0" fillId="6" borderId="7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201" fontId="0" fillId="6" borderId="21" xfId="0" applyNumberFormat="1" applyFont="1" applyFill="1" applyBorder="1" applyAlignment="1">
      <x:alignment vertical="center" wrapText="1"/>
    </x:xf>
    <x:xf numFmtId="201" fontId="0" fillId="6" borderId="11" xfId="0" applyNumberFormat="1" applyFont="1" applyFill="1" applyBorder="1" applyAlignment="1">
      <x:alignment vertical="center" wrapText="1"/>
    </x:xf>
    <x:xf numFmtId="201" fontId="0" fillId="6" borderId="22" xfId="0" applyNumberFormat="1" applyFont="1" applyFill="1" applyBorder="1" applyAlignment="1">
      <x:alignment vertical="center" wrapText="1"/>
    </x:xf>
    <x:xf numFmtId="201" fontId="0" fillId="6" borderId="13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0" fillId="6" borderId="23" xfId="0" applyNumberFormat="1" applyFont="1" applyFill="1" applyBorder="1" applyAlignment="1">
      <x:alignment vertical="center" wrapText="1"/>
    </x:xf>
    <x:xf numFmtId="201" fontId="0" fillId="6" borderId="17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7" borderId="24" xfId="0" applyNumberFormat="1" applyFont="1" applyFill="1" applyBorder="1" applyAlignment="1">
      <x:alignment vertical="center" wrapText="1"/>
    </x:xf>
    <x:xf numFmtId="0" fontId="0" fillId="7" borderId="25" xfId="0" applyNumberFormat="1" applyFont="1" applyFill="1" applyBorder="1" applyAlignment="1">
      <x:alignment vertical="center" wrapText="1"/>
    </x:xf>
    <x:xf numFmtId="0" fontId="0" fillId="7" borderId="27" xfId="0" applyNumberFormat="1" applyFont="1" applyFill="1" applyBorder="1" applyAlignment="1">
      <x:alignment vertical="center" wrapText="1"/>
    </x:xf>
    <x:xf numFmtId="0" fontId="0" fillId="7" borderId="28" xfId="0" applyNumberFormat="1" applyFont="1" applyFill="1" applyBorder="1" applyAlignment="1">
      <x:alignment vertical="center" wrapText="1"/>
    </x:xf>
    <x:xf numFmtId="201" fontId="0" fillId="0" borderId="25" xfId="0" applyNumberFormat="1" applyFont="1" applyFill="1" applyBorder="1" applyAlignment="1">
      <x:alignment vertical="center" wrapText="1"/>
    </x:xf>
    <x:xf numFmtId="201" fontId="0" fillId="0" borderId="26" xfId="0" applyNumberFormat="1" applyFont="1" applyFill="1" applyBorder="1" applyAlignment="1">
      <x:alignment vertical="center" wrapText="1"/>
    </x:xf>
    <x:xf numFmtId="201" fontId="0" fillId="0" borderId="28" xfId="0" applyNumberFormat="1" applyFont="1" applyFill="1" applyBorder="1" applyAlignment="1">
      <x:alignment vertical="center" wrapText="1"/>
    </x:xf>
    <x:xf numFmtId="201" fontId="0" fillId="0" borderId="29" xfId="0" applyNumberFormat="1" applyFont="1" applyFill="1" applyBorder="1" applyAlignment="1">
      <x:alignment vertical="center" wrapText="1"/>
    </x:xf>
    <x:xf numFmtId="201" fontId="0" fillId="6" borderId="25" xfId="0" applyNumberFormat="1" applyFont="1" applyFill="1" applyBorder="1" applyAlignment="1">
      <x:alignment vertical="center" wrapText="1"/>
    </x:xf>
    <x:xf numFmtId="201" fontId="0" fillId="6" borderId="26" xfId="0" applyNumberFormat="1" applyFont="1" applyFill="1" applyBorder="1" applyAlignment="1">
      <x:alignment vertical="center" wrapText="1"/>
    </x:xf>
    <x:xf numFmtId="201" fontId="0" fillId="6" borderId="28" xfId="0" applyNumberFormat="1" applyFont="1" applyFill="1" applyBorder="1" applyAlignment="1">
      <x:alignment vertical="center" wrapText="1"/>
    </x:xf>
    <x:xf numFmtId="201" fontId="0" fillId="6" borderId="29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202" fontId="0" fillId="0" borderId="2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1" xfId="0" applyNumberFormat="1" applyFont="1" applyFill="1" applyBorder="1" applyAlignment="1">
      <x:alignment vertical="center" wrapText="1"/>
    </x:xf>
    <x:xf numFmtId="202" fontId="0" fillId="0" borderId="22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FFCE4E4"/>
        </x:patternFill>
      </x:fill>
    </x:dxf>
    <x:dxf>
      <x:fill>
        <x:patternFill patternType="solid">
          <x:bgColor rgb="FFDFF3E4"/>
        </x:patternFill>
      </x:fill>
    </x:dxf>
    <x:dxf>
      <x:font>
        <x:b/>
      </x:font>
      <x:fill>
        <x:patternFill patternType="solid">
          <x:bgColor rgb="FFDFF3E4"/>
        </x:patternFill>
      </x:fill>
    </x:dxf>
    <x:dxf>
      <x:font>
        <x:b/>
      </x:font>
      <x:fill>
        <x:patternFill patternType="solid">
          <x:bgColor rgb="FFFCE4E4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  <x:dxf>
      <x:font>
        <x:b/>
      </x:font>
      <x:fill>
        <x:patternFill patternType="solid">
          <x:bgColor rgb="FFEAF4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363ef400448f0" /><Relationship Type="http://schemas.openxmlformats.org/officeDocument/2006/relationships/theme" Target="/xl/theme/theme1.xml" Id="R94c987b8b40e4916" /><Relationship Type="http://schemas.openxmlformats.org/officeDocument/2006/relationships/sharedStrings" Target="/xl/sharedStrings.xml" Id="R4eb2af7b72604594" /><Relationship Type="http://schemas.openxmlformats.org/officeDocument/2006/relationships/worksheet" Target="/xl/worksheets/sheet1.xml" Id="Re23666de71ea4a46" /><Relationship Type="http://schemas.openxmlformats.org/officeDocument/2006/relationships/worksheet" Target="/xl/worksheets/sheet2.xml" Id="R13f54700cc8b4e39" /><Relationship Type="http://schemas.openxmlformats.org/officeDocument/2006/relationships/worksheet" Target="/xl/worksheets/sheet3.xml" Id="R16a4892f09f14f57" /><Relationship Type="http://schemas.openxmlformats.org/officeDocument/2006/relationships/worksheet" Target="/xl/worksheets/sheet4.xml" Id="Rf07cbce4bcd34fbb" /><Relationship Type="http://schemas.openxmlformats.org/officeDocument/2006/relationships/worksheet" Target="/xl/worksheets/sheet5.xml" Id="R3a2dfad5a35e425e" /><Relationship Type="http://schemas.openxmlformats.org/officeDocument/2006/relationships/worksheet" Target="/xl/worksheets/sheet6.xml" Id="R0628d62441814a20" /><Relationship Type="http://schemas.openxmlformats.org/officeDocument/2006/relationships/worksheet" Target="/xl/worksheets/sheet7.xml" Id="R3a57879ef70246b8" /><Relationship Type="http://schemas.openxmlformats.org/officeDocument/2006/relationships/worksheet" Target="/xl/worksheets/sheet8.xml" Id="R7c943685816a4843" /><Relationship Type="http://schemas.openxmlformats.org/officeDocument/2006/relationships/worksheet" Target="/xl/worksheets/sheet9.xml" Id="Rd7ecbd38c4354afe" /><Relationship Type="http://schemas.openxmlformats.org/officeDocument/2006/relationships/worksheet" Target="/xl/worksheets/sheet10.xml" Id="R14a664e1c5494272" /><Relationship Type="http://schemas.openxmlformats.org/officeDocument/2006/relationships/worksheet" Target="/xl/worksheets/sheet11.xml" Id="R97651d25b0ab4b43" /><Relationship Type="http://schemas.openxmlformats.org/officeDocument/2006/relationships/worksheet" Target="/xl/worksheets/sheet12.xml" Id="R158f6fba6ccb4c3f" /><Relationship Type="http://schemas.openxmlformats.org/officeDocument/2006/relationships/worksheet" Target="/xl/worksheets/sheet13.xml" Id="R22ccb9c7d803419e" /><Relationship Type="http://schemas.openxmlformats.org/officeDocument/2006/relationships/worksheet" Target="/xl/worksheets/sheet14.xml" Id="R7536cf92356c4f1a" /><Relationship Type="http://schemas.openxmlformats.org/officeDocument/2006/relationships/worksheet" Target="/xl/worksheets/sheet15.xml" Id="R1d96fe073d254800" /><Relationship Type="http://schemas.openxmlformats.org/officeDocument/2006/relationships/worksheet" Target="/xl/worksheets/sheet16.xml" Id="R8b18bf1dab4d493e" /><Relationship Type="http://schemas.openxmlformats.org/officeDocument/2006/relationships/worksheet" Target="/xl/worksheets/sheet17.xml" Id="R83bf23f5587647f6" /><Relationship Type="http://schemas.openxmlformats.org/officeDocument/2006/relationships/worksheet" Target="/xl/worksheets/sheet18.xml" Id="R4a4d50ab46254f4b" /></Relationships>
</file>

<file path=xl/tables/table1.xml><?xml version="1.0" encoding="utf-8"?>
<x:table xmlns:x="http://schemas.openxmlformats.org/spreadsheetml/2006/main" id="1" name="ConfigGeral" displayName="ConfigGeral" ref="A4:D13" headerRowCount="1" totalsRowCount="0" totalsRowShown="0">
  <x:tableColumns count="4">
    <x:tableColumn id="1" name="CHAVE"/>
    <x:tableColumn id="2" name="VALOR"/>
    <x:tableColumn id="3" name="STATUS"/>
    <x:tableColumn id="4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cAvista" displayName="TblPacAvista" ref="A6:M30" headerRowCount="1" totalsRowCount="0" totalsRowShown="0">
  <x:tableColumns count="13">
    <x:tableColumn id="1" name="BLOCO_DESTINO"/>
    <x:tableColumn id="2" name="FAIXA_PESO"/>
    <x:tableColumn id="3" name="PESO_MIN_G"/>
    <x:tableColumn id="4" name="PESO_MAX_G"/>
    <x:tableColumn id="5" name="TIPO_FAIXA"/>
    <x:tableColumn id="6" name="LOCAL"/>
    <x:tableColumn id="7" name="ESTADUAL"/>
    <x:tableColumn id="8" name="MA_PB_PE_PI_RN"/>
    <x:tableColumn id="9" name="AL_SE_ES"/>
    <x:tableColumn id="10" name="BA_PA_MG_RJ"/>
    <x:tableColumn id="11" name="AP_DF_GO_SP"/>
    <x:tableColumn id="12" name="MT_MS_AM_PR_RO_RR_TO"/>
    <x:tableColumn id="13" name="SC_AC_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SedexAvista" displayName="TblSedexAvista" ref="A6:M30" headerRowCount="1" totalsRowCount="0" totalsRowShown="0">
  <x:tableColumns count="13">
    <x:tableColumn id="1" name="BLOCO_DESTINO"/>
    <x:tableColumn id="2" name="FAIXA_PESO"/>
    <x:tableColumn id="3" name="PESO_MIN_G"/>
    <x:tableColumn id="4" name="PESO_MAX_G"/>
    <x:tableColumn id="5" name="TIPO_FAIXA"/>
    <x:tableColumn id="6" name="LOCAL"/>
    <x:tableColumn id="7" name="ESTADUAL"/>
    <x:tableColumn id="8" name="MA_PB_PE_PI_RN"/>
    <x:tableColumn id="9" name="AL_SE_ES"/>
    <x:tableColumn id="10" name="BA_PA_MG_RJ"/>
    <x:tableColumn id="11" name="AP_DF_GO_SP"/>
    <x:tableColumn id="12" name="MT_MS_AM_PR_RO_RR_TO"/>
    <x:tableColumn id="13" name="SC_AC_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acApp" displayName="TblPacApp" ref="A6:P19" headerRowCount="1" totalsRowCount="0" totalsRowShown="0">
  <x:tableColumns count="16">
    <x:tableColumn id="1" name="FAIXA_PESO"/>
    <x:tableColumn id="2" name="PESO_MIN_G"/>
    <x:tableColumn id="3" name="PESO_MAX_G"/>
    <x:tableColumn id="4" name="TIPO_FAIXA"/>
    <x:tableColumn id="5" name="E1"/>
    <x:tableColumn id="6" name="E2"/>
    <x:tableColumn id="7" name="E3"/>
    <x:tableColumn id="8" name="E4"/>
    <x:tableColumn id="9" name="N1"/>
    <x:tableColumn id="10" name="N2"/>
    <x:tableColumn id="11" name="N3"/>
    <x:tableColumn id="12" name="N4"/>
    <x:tableColumn id="13" name="I1"/>
    <x:tableColumn id="14" name="I2"/>
    <x:tableColumn id="15" name="I3"/>
    <x:tableColumn id="16" name="I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edexApp" displayName="TblSedexApp" ref="A6:T19" headerRowCount="1" totalsRowCount="0" totalsRowShown="0">
  <x:tableColumns count="20">
    <x:tableColumn id="1" name="FAIXA_PESO"/>
    <x:tableColumn id="2" name="PESO_MIN_G"/>
    <x:tableColumn id="3" name="PESO_MAX_G"/>
    <x:tableColumn id="4" name="TIPO_FAIXA"/>
    <x:tableColumn id="5" name="L1"/>
    <x:tableColumn id="6" name="L2"/>
    <x:tableColumn id="7" name="L3"/>
    <x:tableColumn id="8" name="L4"/>
    <x:tableColumn id="9" name="E1"/>
    <x:tableColumn id="10" name="E2"/>
    <x:tableColumn id="11" name="E3"/>
    <x:tableColumn id="12" name="E4"/>
    <x:tableColumn id="13" name="N1"/>
    <x:tableColumn id="14" name="N2"/>
    <x:tableColumn id="15" name="N3"/>
    <x:tableColumn id="16" name="N4"/>
    <x:tableColumn id="17" name="I1"/>
    <x:tableColumn id="18" name="I2"/>
    <x:tableColumn id="19" name="I3"/>
    <x:tableColumn id="20" name="I4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PacPlatinum" displayName="TblPacPlatinum" ref="A6:T19" headerRowCount="1" totalsRowCount="0" totalsRowShown="0">
  <x:tableColumns count="20">
    <x:tableColumn id="1" name="FAIXA_PESO"/>
    <x:tableColumn id="2" name="PESO_MIN_G"/>
    <x:tableColumn id="3" name="PESO_MAX_G"/>
    <x:tableColumn id="4" name="TIPO_FAIXA"/>
    <x:tableColumn id="5" name="E1"/>
    <x:tableColumn id="6" name="E2"/>
    <x:tableColumn id="7" name="E3"/>
    <x:tableColumn id="8" name="E4"/>
    <x:tableColumn id="9" name="N1"/>
    <x:tableColumn id="10" name="N2"/>
    <x:tableColumn id="11" name="N3"/>
    <x:tableColumn id="12" name="N4"/>
    <x:tableColumn id="13" name="P1"/>
    <x:tableColumn id="14" name="P2"/>
    <x:tableColumn id="15" name="P3"/>
    <x:tableColumn id="16" name="P4"/>
    <x:tableColumn id="17" name="I1"/>
    <x:tableColumn id="18" name="I2"/>
    <x:tableColumn id="19" name="I3"/>
    <x:tableColumn id="20" name="I4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SedexPlatinum" displayName="TblSedexPlatinum" ref="A6:X19" headerRowCount="1" totalsRowCount="0" totalsRowShown="0">
  <x:tableColumns count="24">
    <x:tableColumn id="1" name="FAIXA_PESO"/>
    <x:tableColumn id="2" name="PESO_MIN_G"/>
    <x:tableColumn id="3" name="PESO_MAX_G"/>
    <x:tableColumn id="4" name="TIPO_FAIXA"/>
    <x:tableColumn id="5" name="L1"/>
    <x:tableColumn id="6" name="L2"/>
    <x:tableColumn id="7" name="L3"/>
    <x:tableColumn id="8" name="L4"/>
    <x:tableColumn id="9" name="E1"/>
    <x:tableColumn id="10" name="E2"/>
    <x:tableColumn id="11" name="E3"/>
    <x:tableColumn id="12" name="E4"/>
    <x:tableColumn id="13" name="N1"/>
    <x:tableColumn id="14" name="N2"/>
    <x:tableColumn id="15" name="N3"/>
    <x:tableColumn id="16" name="N4"/>
    <x:tableColumn id="17" name="P1"/>
    <x:tableColumn id="18" name="P2"/>
    <x:tableColumn id="19" name="P3"/>
    <x:tableColumn id="20" name="P4"/>
    <x:tableColumn id="21" name="I1"/>
    <x:tableColumn id="22" name="I2"/>
    <x:tableColumn id="23" name="I3"/>
    <x:tableColumn id="24" name="I4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MiniPlatinum" displayName="TblMiniPlatinum" ref="A6:T7" headerRowCount="1" totalsRowCount="0" totalsRowShown="0">
  <x:tableColumns count="20">
    <x:tableColumn id="1" name="FAIXA_PESO"/>
    <x:tableColumn id="2" name="PESO_MIN_G"/>
    <x:tableColumn id="3" name="PESO_MAX_G"/>
    <x:tableColumn id="4" name="TIPO_FAIXA"/>
    <x:tableColumn id="5" name="E1"/>
    <x:tableColumn id="6" name="E2"/>
    <x:tableColumn id="7" name="E3"/>
    <x:tableColumn id="8" name="E4"/>
    <x:tableColumn id="9" name="N1"/>
    <x:tableColumn id="10" name="N2"/>
    <x:tableColumn id="11" name="N3"/>
    <x:tableColumn id="12" name="N4"/>
    <x:tableColumn id="13" name="P1"/>
    <x:tableColumn id="14" name="P2"/>
    <x:tableColumn id="15" name="P3"/>
    <x:tableColumn id="16" name="P4"/>
    <x:tableColumn id="17" name="I1"/>
    <x:tableColumn id="18" name="I2"/>
    <x:tableColumn id="19" name="I3"/>
    <x:tableColumn id="20" name="I4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RegrasServicos" displayName="TblRegrasServicos" ref="A4:O11" headerRowCount="1" totalsRowCount="0" totalsRowShown="0">
  <x:tableColumns count="15">
    <x:tableColumn id="1" name="TABELA"/>
    <x:tableColumn id="2" name="SERVICO"/>
    <x:tableColumn id="3" name="CODIGO"/>
    <x:tableColumn id="4" name="VIGENCIA"/>
    <x:tableColumn id="5" name="DIVISOR_CUBICO"/>
    <x:tableColumn id="6" name="ISENCAO_CUBAGEM_KG"/>
    <x:tableColumn id="7" name="CRITERIO_PESO"/>
    <x:tableColumn id="8" name="AD_VALOREM_PCT"/>
    <x:tableColumn id="9" name="INDENIZACAO_AUTOMATICA"/>
    <x:tableColumn id="10" name="LIMITE_VALOR_DECLARADO"/>
    <x:tableColumn id="11" name="MANUSEIO_ESPECIAL"/>
    <x:tableColumn id="12" name="PESO_MIN_G"/>
    <x:tableColumn id="13" name="PESO_MAX_G"/>
    <x:tableColumn id="14" name="STATUS"/>
    <x:tableColumn id="15" name="OBSERVACA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MapaTrechos" displayName="TblMapaTrechos" ref="A4:H15" headerRowCount="1" totalsRowCount="0" totalsRowShown="0">
  <x:tableColumns count="8">
    <x:tableColumn id="1" name="TABELA"/>
    <x:tableColumn id="2" name="SERVICO"/>
    <x:tableColumn id="3" name="TIPO_DESTINO"/>
    <x:tableColumn id="4" name="CONDICAO"/>
    <x:tableColumn id="5" name="GRUPO"/>
    <x:tableColumn id="6" name="STATUS"/>
    <x:tableColumn id="7" name="FONTE"/>
    <x:tableColumn id="8" name="OBSERVACA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ClassificacaoCidades" displayName="TblClassificacaoCidades" ref="A4:F493" headerRowCount="1" totalsRowCount="0" totalsRowShown="0">
  <x:tableColumns count="6">
    <x:tableColumn id="1" name="UF"/>
    <x:tableColumn id="2" name="SE"/>
    <x:tableColumn id="3" name="LOCALIDADE"/>
    <x:tableColumn id="4" name="ID_MUNICIPIO_IBGE"/>
    <x:tableColumn id="5" name="CLASS_ATUALIZADA"/>
    <x:tableColumn id="6" name="CLASS_ANTERI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CapitaisEplus" displayName="TblCapitaisEplus" ref="A4:D45" headerRowCount="1" totalsRowCount="0" totalsRowShown="0">
  <x:tableColumns count="4">
    <x:tableColumn id="1" name="UF"/>
    <x:tableColumn id="2" name="LOCALIDADE"/>
    <x:tableColumn id="3" name="TIPO"/>
    <x:tableColumn id="4" name="FON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CodigosServicos" displayName="TblCodigosServicos" ref="A4:C107" headerRowCount="1" totalsRowCount="0" totalsRowShown="0">
  <x:tableColumns count="3">
    <x:tableColumn id="1" name="CODIGO"/>
    <x:tableColumn id="2" name="DESCRICAO"/>
    <x:tableColumn id="3" name="CATEGORI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MapaCsv" displayName="TblMapaCsv" ref="A4:H18" headerRowCount="1" totalsRowCount="0" totalsRowShown="0">
  <x:tableColumns count="8">
    <x:tableColumn id="1" name="COLUNA_CSV"/>
    <x:tableColumn id="2" name="CAMPO_INTERNO"/>
    <x:tableColumn id="3" name="OBRIGATORIO"/>
    <x:tableColumn id="4" name="TIPO"/>
    <x:tableColumn id="5" name="REGRA"/>
    <x:tableColumn id="6" name="EXEMPLO"/>
    <x:tableColumn id="7" name="STATUS"/>
    <x:tableColumn id="8" name="OBSERVACA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Fontes" displayName="TblFontes" ref="A4:H14" headerRowCount="1" totalsRowCount="0" totalsRowShown="0">
  <x:tableColumns count="8">
    <x:tableColumn id="1" name="ID"/>
    <x:tableColumn id="2" name="ARQUIVO/FONTE"/>
    <x:tableColumn id="3" name="ABA"/>
    <x:tableColumn id="4" name="VIGENCIA"/>
    <x:tableColumn id="5" name="USO"/>
    <x:tableColumn id="6" name="URL/LOCAL"/>
    <x:tableColumn id="7" name="STATUS"/>
    <x:tableColumn id="8" name="OBSERVACA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Testes" displayName="TblTestes" ref="A4:R10" headerRowCount="1" totalsRowCount="0" totalsRowShown="0">
  <x:tableColumns count="18">
    <x:tableColumn id="1" name="OBJETO"/>
    <x:tableColumn id="2" name="SERVICO"/>
    <x:tableColumn id="3" name="PESO"/>
    <x:tableColumn id="4" name="POSTAGEM"/>
    <x:tableColumn id="5" name="VALOR"/>
    <x:tableColumn id="6" name="DECLARADO"/>
    <x:tableColumn id="7" name="ADICIONAIS"/>
    <x:tableColumn id="8" name="CEP"/>
    <x:tableColumn id="9" name="CIDADE"/>
    <x:tableColumn id="10" name="UF"/>
    <x:tableColumn id="11" name="ALTURA"/>
    <x:tableColumn id="12" name="LARGURA"/>
    <x:tableColumn id="13" name="COMPRIMENTO"/>
    <x:tableColumn id="14" name="CODIGO_ECT"/>
    <x:tableColumn id="15" name="TABELA_ESPERADA"/>
    <x:tableColumn id="16" name="VALOR_ESPERADO"/>
    <x:tableColumn id="17" name="RESULTADO"/>
    <x:tableColumn id="18" name="OBSERVACA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Controle" displayName="TblControle" ref="A4:G11" headerRowCount="1" totalsRowCount="0" totalsRowShown="0">
  <x:tableColumns count="7">
    <x:tableColumn id="1" name="ABA"/>
    <x:tableColumn id="2" name="LINHAS_ESPERADAS"/>
    <x:tableColumn id="3" name="LINHAS_ENCONTRADAS"/>
    <x:tableColumn id="4" name="VIGENCIA"/>
    <x:tableColumn id="5" name="CODIGO"/>
    <x:tableColumn id="6" name="STATUS"/>
    <x:tableColumn id="7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3eeb2a0526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4875d16195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b533498a2241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1a718969cd48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d95200a9534a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ec20c0a86941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62aeb9d17f48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ead594dd3d44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13873ddd7244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85b6993b0b04d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16b6f5028dd4d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6d2c92b404d4d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153f0e6b25c45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2c65d78278a4d9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d86c694121e4ee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1e6300df4574e1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bd712cd39f7441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8" hidden="0" customWidth="1"/>
  </x:cols>
  <x:sheetData>
    <x:row r="1" ht="30" customHeight="1">
      <x:c r="A1" s="5" t="str">
        <x:v>BASE TARIFÁRIA CORREIOS - AGF JOSÉ BONIFÁCIO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2" t="str">
        <x:v>Fonte única para o futuro motor de cálculo e comparador comercial. Atualize os valores nesta planilha antes de alterar regras ou front.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4" t="str">
        <x:v>ORDEM DE USO</x:v>
      </x:c>
      <x:c r="B4" s="25" t="str">
        <x:v>O QUE FAZER</x:v>
      </x:c>
    </x:row>
    <x:row r="5">
      <x:c r="A5" s="78" t="str">
        <x:v>1</x:v>
      </x:c>
      <x:c r="B5" s="90" t="str">
        <x:v>Atualize a vigência na aba 01_CONFIG.</x:v>
      </x:c>
    </x:row>
    <x:row r="6">
      <x:c r="A6" s="79" t="str">
        <x:v>2</x:v>
      </x:c>
      <x:c r="B6" s="91" t="str">
        <x:v>Substitua os preços apenas nas abas tarifárias correspondentes.</x:v>
      </x:c>
    </x:row>
    <x:row r="7">
      <x:c r="A7" s="79" t="str">
        <x:v>3</x:v>
      </x:c>
      <x:c r="B7" s="91" t="str">
        <x:v>Não altere nomes de colunas, nomes das abas ou códigos de grupo.</x:v>
      </x:c>
    </x:row>
    <x:row r="8">
      <x:c r="A8" s="79" t="str">
        <x:v>4</x:v>
      </x:c>
      <x:c r="B8" s="91" t="str">
        <x:v>Atualize a aba FONTES com o arquivo oficial utilizado.</x:v>
      </x:c>
    </x:row>
    <x:row r="9">
      <x:c r="A9" s="79" t="str">
        <x:v>5</x:v>
      </x:c>
      <x:c r="B9" s="91" t="str">
        <x:v>Execute os testes da aba TESTES antes de publicar uma nova versão.</x:v>
      </x:c>
    </x:row>
    <x:row r="10">
      <x:c r="A10" s="80" t="str">
        <x:v>6</x:v>
      </x:c>
      <x:c r="B10" s="92" t="str">
        <x:v>O motor de regras e o front deverão ler somente esta estrutura.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5" hidden="0" customWidth="1"/>
    <x:col min="4" max="4" width="58" hidden="0" customWidth="1"/>
  </x:cols>
  <x:sheetData>
    <x:row r="1" ht="30" customHeight="1">
      <x:c r="A1" s="5" t="str">
        <x:v>CONFIGURAÇÃO GERAL</x:v>
      </x:c>
      <x:c r="B1" s="5"/>
      <x:c r="C1" s="5"/>
      <x:c r="D1" s="5"/>
      <x:c r="E1" s="5"/>
      <x:c r="F1" s="5"/>
    </x:row>
    <x:row r="2" ht="32" customHeight="1">
      <x:c r="A2" s="12" t="str">
        <x:v>Campos centrais usados pelo futuro motor de cálculo.</x:v>
      </x:c>
      <x:c r="B2" s="12"/>
      <x:c r="C2" s="12"/>
      <x:c r="D2" s="12"/>
      <x:c r="E2" s="12"/>
      <x:c r="F2" s="12"/>
    </x:row>
    <x:row r="4" ht="30" customHeight="1">
      <x:c r="A4" s="24" t="str">
        <x:v>CHAVE</x:v>
      </x:c>
      <x:c r="B4" s="99" t="str">
        <x:v>VALOR</x:v>
      </x:c>
      <x:c r="C4" s="99" t="str">
        <x:v>STATUS</x:v>
      </x:c>
      <x:c r="D4" s="25" t="str">
        <x:v>OBSERVAÇÃO</x:v>
      </x:c>
    </x:row>
    <x:row r="5">
      <x:c r="A5" s="48" t="str">
        <x:v>ORIGEM_NOME</x:v>
      </x:c>
      <x:c r="B5" s="121" t="str">
        <x:v>AGF José Bonifácio</x:v>
      </x:c>
      <x:c r="C5" s="127" t="str">
        <x:v>ATIVO</x:v>
      </x:c>
      <x:c r="D5" s="49" t="str">
        <x:v>Unidade considerada como origem das simulações.</x:v>
      </x:c>
    </x:row>
    <x:row r="6">
      <x:c r="A6" s="50" t="str">
        <x:v>ORIGEM_CEP</x:v>
      </x:c>
      <x:c r="B6" s="122" t="str">
        <x:v>60055-974</x:v>
      </x:c>
      <x:c r="C6" s="128" t="str">
        <x:v>VALIDAR</x:v>
      </x:c>
      <x:c r="D6" s="51" t="str">
        <x:v>Confirmar o CEP antes da publicação do front.</x:v>
      </x:c>
    </x:row>
    <x:row r="7">
      <x:c r="A7" s="50" t="str">
        <x:v>ORIGEM_CIDADE</x:v>
      </x:c>
      <x:c r="B7" s="122" t="str">
        <x:v>FORTALEZA</x:v>
      </x:c>
      <x:c r="C7" s="128" t="str">
        <x:v>ATIVO</x:v>
      </x:c>
      <x:c r="D7" s="51" t="str"/>
    </x:row>
    <x:row r="8">
      <x:c r="A8" s="50" t="str">
        <x:v>ORIGEM_UF</x:v>
      </x:c>
      <x:c r="B8" s="122" t="str">
        <x:v>CE</x:v>
      </x:c>
      <x:c r="C8" s="128" t="str">
        <x:v>ATIVO</x:v>
      </x:c>
      <x:c r="D8" s="51" t="str"/>
    </x:row>
    <x:row r="9">
      <x:c r="A9" s="50" t="str">
        <x:v>VIGENCIA_PADRAO</x:v>
      </x:c>
      <x:c r="B9" s="122" t="n">
        <x:v>46124</x:v>
      </x:c>
      <x:c r="C9" s="128" t="str">
        <x:v>ATIVO</x:v>
      </x:c>
      <x:c r="D9" s="51" t="str">
        <x:v>Todas as comparações desta versão usam 12/04/2026.</x:v>
      </x:c>
    </x:row>
    <x:row r="10">
      <x:c r="A10" s="50" t="str">
        <x:v>CLASSIFICACAO_CIDADES_VERSAO</x:v>
      </x:c>
      <x:c r="B10" s="133" t="n">
        <x:v>44957</x:v>
      </x:c>
      <x:c r="C10" s="128" t="str">
        <x:v>PROVISÓRIO</x:v>
      </x:c>
      <x:c r="D10" s="51" t="str">
        <x:v>Substituir quando houver classificação mais recente.</x:v>
      </x:c>
    </x:row>
    <x:row r="11">
      <x:c r="A11" s="50" t="str">
        <x:v>MOEDA</x:v>
      </x:c>
      <x:c r="B11" s="133" t="str">
        <x:v>BRL</x:v>
      </x:c>
      <x:c r="C11" s="128" t="str">
        <x:v>ATIVO</x:v>
      </x:c>
      <x:c r="D11" s="51" t="str"/>
    </x:row>
    <x:row r="12">
      <x:c r="A12" s="50" t="str">
        <x:v>SEPARADOR_CSV</x:v>
      </x:c>
      <x:c r="B12" s="122" t="str">
        <x:v>;</x:v>
      </x:c>
      <x:c r="C12" s="128" t="str">
        <x:v>ATIVO</x:v>
      </x:c>
      <x:c r="D12" s="51" t="str">
        <x:v>Padrão do arquivo analítico recebido.</x:v>
      </x:c>
    </x:row>
    <x:row r="13">
      <x:c r="A13" s="52" t="str">
        <x:v>ENCODING_CSV</x:v>
      </x:c>
      <x:c r="B13" s="123" t="str">
        <x:v>UTF-8</x:v>
      </x:c>
      <x:c r="C13" s="129" t="str">
        <x:v>ATIVO</x:v>
      </x:c>
      <x:c r="D13" s="53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3eeb2a05264c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19.200000762939453" hidden="0" customHeight="1">
      <x:c r="A1" s="5" t="str">
        <x:v>PAC À VISTA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12" t="str">
        <x:v>Origem Ceará. Blocos Capital-Capital e Capital-Interior em uma única tabela estruturada.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0451-0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PAC À VISTA_04510_2026.xlsx - aba CE</x:v>
      </x:c>
    </x:row>
    <x:row r="5"/>
    <x:row r="6" ht="15" hidden="0" customHeight="1">
      <x:c r="A6" s="24" t="str">
        <x:v>BLOCO_DESTINO</x:v>
      </x:c>
      <x:c r="B6" s="99" t="str">
        <x:v>FAIXA_PESO</x:v>
      </x:c>
      <x:c r="C6" s="99" t="str">
        <x:v>PESO_MIN_G</x:v>
      </x:c>
      <x:c r="D6" s="99" t="str">
        <x:v>PESO_MAX_G</x:v>
      </x:c>
      <x:c r="E6" s="99" t="str">
        <x:v>TIPO_FAIXA</x:v>
      </x:c>
      <x:c r="F6" s="99" t="str">
        <x:v>LOCAL</x:v>
      </x:c>
      <x:c r="G6" s="99" t="str">
        <x:v>ESTADUAL</x:v>
      </x:c>
      <x:c r="H6" s="99" t="str">
        <x:v>MA_PB_PE_PI_RN</x:v>
      </x:c>
      <x:c r="I6" s="99" t="str">
        <x:v>AL_SE_ES</x:v>
      </x:c>
      <x:c r="J6" s="99" t="str">
        <x:v>BA_PA_MG_RJ</x:v>
      </x:c>
      <x:c r="K6" s="99" t="str">
        <x:v>AP_DF_GO_SP</x:v>
      </x:c>
      <x:c r="L6" s="99" t="str">
        <x:v>MT_MS_AM_PR_RO_RR_TO</x:v>
      </x:c>
      <x:c r="M6" s="25" t="str">
        <x:v>SC_AC_RS</x:v>
      </x:c>
    </x:row>
    <x:row r="7" ht="15" hidden="0" customHeight="1">
      <x:c r="A7" s="145" t="str">
        <x:v>CAPITAL_CAPITAL</x:v>
      </x:c>
      <x:c r="B7" s="146" t="str">
        <x:v>0 a 300</x:v>
      </x:c>
      <x:c r="C7" s="146" t="n">
        <x:v>0</x:v>
      </x:c>
      <x:c r="D7" s="146" t="n">
        <x:v>300</x:v>
      </x:c>
      <x:c r="E7" s="110" t="str">
        <x:v>FAIXA</x:v>
      </x:c>
      <x:c r="F7" s="169" t="n">
        <x:v>23.3</x:v>
      </x:c>
      <x:c r="G7" s="169" t="n">
        <x:v>26.9</x:v>
      </x:c>
      <x:c r="H7" s="169" t="n">
        <x:v>27.5</x:v>
      </x:c>
      <x:c r="I7" s="169" t="n">
        <x:v>30.7</x:v>
      </x:c>
      <x:c r="J7" s="169" t="n">
        <x:v>34.2</x:v>
      </x:c>
      <x:c r="K7" s="169" t="n">
        <x:v>41</x:v>
      </x:c>
      <x:c r="L7" s="169" t="n">
        <x:v>49.3</x:v>
      </x:c>
      <x:c r="M7" s="170" t="n">
        <x:v>60.1</x:v>
      </x:c>
    </x:row>
    <x:row r="8" ht="15" hidden="0" customHeight="1">
      <x:c r="A8" s="147" t="str">
        <x:v>CAPITAL_CAPITAL</x:v>
      </x:c>
      <x:c r="B8" s="148" t="str">
        <x:v>301 a 1000</x:v>
      </x:c>
      <x:c r="C8" s="148" t="n">
        <x:v>301</x:v>
      </x:c>
      <x:c r="D8" s="148" t="n">
        <x:v>1000</x:v>
      </x:c>
      <x:c r="E8" s="111" t="str">
        <x:v>FAIXA</x:v>
      </x:c>
      <x:c r="F8" s="171" t="n">
        <x:v>25.8</x:v>
      </x:c>
      <x:c r="G8" s="171" t="n">
        <x:v>29.8</x:v>
      </x:c>
      <x:c r="H8" s="171" t="n">
        <x:v>30.5</x:v>
      </x:c>
      <x:c r="I8" s="171" t="n">
        <x:v>34.1</x:v>
      </x:c>
      <x:c r="J8" s="171" t="n">
        <x:v>38</x:v>
      </x:c>
      <x:c r="K8" s="171" t="n">
        <x:v>45.5</x:v>
      </x:c>
      <x:c r="L8" s="171" t="n">
        <x:v>54.7</x:v>
      </x:c>
      <x:c r="M8" s="172" t="n">
        <x:v>66.7</x:v>
      </x:c>
    </x:row>
    <x:row r="9" ht="15" hidden="0" customHeight="1">
      <x:c r="A9" s="147" t="str">
        <x:v>CAPITAL_CAPITAL</x:v>
      </x:c>
      <x:c r="B9" s="148" t="str">
        <x:v>1001 a 2000</x:v>
      </x:c>
      <x:c r="C9" s="148" t="n">
        <x:v>1001</x:v>
      </x:c>
      <x:c r="D9" s="148" t="n">
        <x:v>2000</x:v>
      </x:c>
      <x:c r="E9" s="111" t="str">
        <x:v>FAIXA</x:v>
      </x:c>
      <x:c r="F9" s="171" t="n">
        <x:v>29.7</x:v>
      </x:c>
      <x:c r="G9" s="171" t="n">
        <x:v>33.5</x:v>
      </x:c>
      <x:c r="H9" s="171" t="n">
        <x:v>33.6</x:v>
      </x:c>
      <x:c r="I9" s="171" t="n">
        <x:v>37.6</x:v>
      </x:c>
      <x:c r="J9" s="171" t="n">
        <x:v>41.8</x:v>
      </x:c>
      <x:c r="K9" s="171" t="n">
        <x:v>49.8</x:v>
      </x:c>
      <x:c r="L9" s="171" t="n">
        <x:v>59.8</x:v>
      </x:c>
      <x:c r="M9" s="172" t="n">
        <x:v>73.1</x:v>
      </x:c>
    </x:row>
    <x:row r="10" ht="15" hidden="0" customHeight="1">
      <x:c r="A10" s="147" t="str">
        <x:v>CAPITAL_CAPITAL</x:v>
      </x:c>
      <x:c r="B10" s="148" t="str">
        <x:v>2001 a 3000</x:v>
      </x:c>
      <x:c r="C10" s="148" t="n">
        <x:v>2001</x:v>
      </x:c>
      <x:c r="D10" s="148" t="n">
        <x:v>3000</x:v>
      </x:c>
      <x:c r="E10" s="111" t="str">
        <x:v>FAIXA</x:v>
      </x:c>
      <x:c r="F10" s="171" t="n">
        <x:v>32</x:v>
      </x:c>
      <x:c r="G10" s="171" t="n">
        <x:v>36.5</x:v>
      </x:c>
      <x:c r="H10" s="171" t="n">
        <x:v>40.1</x:v>
      </x:c>
      <x:c r="I10" s="171" t="n">
        <x:v>44.5</x:v>
      </x:c>
      <x:c r="J10" s="171" t="n">
        <x:v>49.7</x:v>
      </x:c>
      <x:c r="K10" s="171" t="n">
        <x:v>59.6</x:v>
      </x:c>
      <x:c r="L10" s="171" t="n">
        <x:v>71.2</x:v>
      </x:c>
      <x:c r="M10" s="172" t="n">
        <x:v>87.2</x:v>
      </x:c>
    </x:row>
    <x:row r="11" ht="15" hidden="0" customHeight="1">
      <x:c r="A11" s="147" t="str">
        <x:v>CAPITAL_CAPITAL</x:v>
      </x:c>
      <x:c r="B11" s="148" t="str">
        <x:v>3001 a 4000</x:v>
      </x:c>
      <x:c r="C11" s="148" t="n">
        <x:v>3001</x:v>
      </x:c>
      <x:c r="D11" s="148" t="n">
        <x:v>4000</x:v>
      </x:c>
      <x:c r="E11" s="111" t="str">
        <x:v>FAIXA</x:v>
      </x:c>
      <x:c r="F11" s="171" t="n">
        <x:v>33.5</x:v>
      </x:c>
      <x:c r="G11" s="171" t="n">
        <x:v>39.4</x:v>
      </x:c>
      <x:c r="H11" s="171" t="n">
        <x:v>42.6</x:v>
      </x:c>
      <x:c r="I11" s="171" t="n">
        <x:v>47.6</x:v>
      </x:c>
      <x:c r="J11" s="171" t="n">
        <x:v>53.4</x:v>
      </x:c>
      <x:c r="K11" s="171" t="n">
        <x:v>63.8</x:v>
      </x:c>
      <x:c r="L11" s="171" t="n">
        <x:v>76.3</x:v>
      </x:c>
      <x:c r="M11" s="172" t="n">
        <x:v>93.4</x:v>
      </x:c>
    </x:row>
    <x:row r="12" ht="15" hidden="0" customHeight="1">
      <x:c r="A12" s="147" t="str">
        <x:v>CAPITAL_CAPITAL</x:v>
      </x:c>
      <x:c r="B12" s="148" t="str">
        <x:v>4001 a 5000</x:v>
      </x:c>
      <x:c r="C12" s="148" t="n">
        <x:v>4001</x:v>
      </x:c>
      <x:c r="D12" s="148" t="n">
        <x:v>5000</x:v>
      </x:c>
      <x:c r="E12" s="111" t="str">
        <x:v>FAIXA</x:v>
      </x:c>
      <x:c r="F12" s="171" t="n">
        <x:v>35.5</x:v>
      </x:c>
      <x:c r="G12" s="171" t="n">
        <x:v>42.6</x:v>
      </x:c>
      <x:c r="H12" s="171" t="n">
        <x:v>45.5</x:v>
      </x:c>
      <x:c r="I12" s="171" t="n">
        <x:v>51.1</x:v>
      </x:c>
      <x:c r="J12" s="171" t="n">
        <x:v>57</x:v>
      </x:c>
      <x:c r="K12" s="171" t="n">
        <x:v>68.1</x:v>
      </x:c>
      <x:c r="L12" s="171" t="n">
        <x:v>81.7</x:v>
      </x:c>
      <x:c r="M12" s="172" t="n">
        <x:v>99.6</x:v>
      </x:c>
    </x:row>
    <x:row r="13" ht="15" hidden="0" customHeight="1">
      <x:c r="A13" s="147" t="str">
        <x:v>CAPITAL_CAPITAL</x:v>
      </x:c>
      <x:c r="B13" s="148" t="str">
        <x:v>5001 a 6000</x:v>
      </x:c>
      <x:c r="C13" s="148" t="n">
        <x:v>5001</x:v>
      </x:c>
      <x:c r="D13" s="148" t="n">
        <x:v>6000</x:v>
      </x:c>
      <x:c r="E13" s="111" t="str">
        <x:v>FAIXA</x:v>
      </x:c>
      <x:c r="F13" s="171" t="n">
        <x:v>39.4</x:v>
      </x:c>
      <x:c r="G13" s="171" t="n">
        <x:v>47</x:v>
      </x:c>
      <x:c r="H13" s="171" t="n">
        <x:v>50.5</x:v>
      </x:c>
      <x:c r="I13" s="171" t="n">
        <x:v>57.8</x:v>
      </x:c>
      <x:c r="J13" s="171" t="n">
        <x:v>65.9</x:v>
      </x:c>
      <x:c r="K13" s="171" t="n">
        <x:v>81.7</x:v>
      </x:c>
      <x:c r="L13" s="171" t="n">
        <x:v>100.2</x:v>
      </x:c>
      <x:c r="M13" s="172" t="n">
        <x:v>125.3</x:v>
      </x:c>
    </x:row>
    <x:row r="14" ht="15" hidden="0" customHeight="1">
      <x:c r="A14" s="147" t="str">
        <x:v>CAPITAL_CAPITAL</x:v>
      </x:c>
      <x:c r="B14" s="148" t="str">
        <x:v>6001 a 7000</x:v>
      </x:c>
      <x:c r="C14" s="148" t="n">
        <x:v>6001</x:v>
      </x:c>
      <x:c r="D14" s="148" t="n">
        <x:v>7000</x:v>
      </x:c>
      <x:c r="E14" s="111" t="str">
        <x:v>FAIXA</x:v>
      </x:c>
      <x:c r="F14" s="171" t="n">
        <x:v>41.9</x:v>
      </x:c>
      <x:c r="G14" s="171" t="n">
        <x:v>49.5</x:v>
      </x:c>
      <x:c r="H14" s="171" t="n">
        <x:v>55.5</x:v>
      </x:c>
      <x:c r="I14" s="171" t="n">
        <x:v>63.9</x:v>
      </x:c>
      <x:c r="J14" s="171" t="n">
        <x:v>72.8</x:v>
      </x:c>
      <x:c r="K14" s="171" t="n">
        <x:v>90.2</x:v>
      </x:c>
      <x:c r="L14" s="171" t="n">
        <x:v>110.7</x:v>
      </x:c>
      <x:c r="M14" s="172" t="n">
        <x:v>138.3</x:v>
      </x:c>
    </x:row>
    <x:row r="15" ht="15" hidden="0" customHeight="1">
      <x:c r="A15" s="147" t="str">
        <x:v>CAPITAL_CAPITAL</x:v>
      </x:c>
      <x:c r="B15" s="148" t="str">
        <x:v>7001 a 8000</x:v>
      </x:c>
      <x:c r="C15" s="148" t="n">
        <x:v>7001</x:v>
      </x:c>
      <x:c r="D15" s="148" t="n">
        <x:v>8000</x:v>
      </x:c>
      <x:c r="E15" s="111" t="str">
        <x:v>FAIXA</x:v>
      </x:c>
      <x:c r="F15" s="171" t="n">
        <x:v>43.4</x:v>
      </x:c>
      <x:c r="G15" s="171" t="n">
        <x:v>52.3</x:v>
      </x:c>
      <x:c r="H15" s="171" t="n">
        <x:v>60.6</x:v>
      </x:c>
      <x:c r="I15" s="171" t="n">
        <x:v>69.4</x:v>
      </x:c>
      <x:c r="J15" s="171" t="n">
        <x:v>79.2</x:v>
      </x:c>
      <x:c r="K15" s="171" t="n">
        <x:v>98</x:v>
      </x:c>
      <x:c r="L15" s="171" t="n">
        <x:v>120.6</x:v>
      </x:c>
      <x:c r="M15" s="172" t="n">
        <x:v>150.6</x:v>
      </x:c>
    </x:row>
    <x:row r="16" ht="15" hidden="0" customHeight="1">
      <x:c r="A16" s="147" t="str">
        <x:v>CAPITAL_CAPITAL</x:v>
      </x:c>
      <x:c r="B16" s="148" t="str">
        <x:v>8001 a 9000</x:v>
      </x:c>
      <x:c r="C16" s="148" t="n">
        <x:v>8001</x:v>
      </x:c>
      <x:c r="D16" s="148" t="n">
        <x:v>9000</x:v>
      </x:c>
      <x:c r="E16" s="111" t="str">
        <x:v>FAIXA</x:v>
      </x:c>
      <x:c r="F16" s="171" t="n">
        <x:v>46.1</x:v>
      </x:c>
      <x:c r="G16" s="171" t="n">
        <x:v>55</x:v>
      </x:c>
      <x:c r="H16" s="171" t="n">
        <x:v>63.5</x:v>
      </x:c>
      <x:c r="I16" s="171" t="n">
        <x:v>73</x:v>
      </x:c>
      <x:c r="J16" s="171" t="n">
        <x:v>83.1</x:v>
      </x:c>
      <x:c r="K16" s="171" t="n">
        <x:v>103</x:v>
      </x:c>
      <x:c r="L16" s="171" t="n">
        <x:v>126.6</x:v>
      </x:c>
      <x:c r="M16" s="172" t="n">
        <x:v>157.9</x:v>
      </x:c>
    </x:row>
    <x:row r="17" ht="15" hidden="0" customHeight="1">
      <x:c r="A17" s="147" t="str">
        <x:v>CAPITAL_CAPITAL</x:v>
      </x:c>
      <x:c r="B17" s="148" t="str">
        <x:v>9001 a 10000</x:v>
      </x:c>
      <x:c r="C17" s="148" t="n">
        <x:v>9001</x:v>
      </x:c>
      <x:c r="D17" s="148" t="n">
        <x:v>10000</x:v>
      </x:c>
      <x:c r="E17" s="111" t="str">
        <x:v>FAIXA</x:v>
      </x:c>
      <x:c r="F17" s="171" t="n">
        <x:v>48.5</x:v>
      </x:c>
      <x:c r="G17" s="171" t="n">
        <x:v>57.2</x:v>
      </x:c>
      <x:c r="H17" s="171" t="n">
        <x:v>65.6</x:v>
      </x:c>
      <x:c r="I17" s="171" t="n">
        <x:v>75.3</x:v>
      </x:c>
      <x:c r="J17" s="171" t="n">
        <x:v>86</x:v>
      </x:c>
      <x:c r="K17" s="171" t="n">
        <x:v>106.2</x:v>
      </x:c>
      <x:c r="L17" s="171" t="n">
        <x:v>130.7</x:v>
      </x:c>
      <x:c r="M17" s="172" t="n">
        <x:v>163.3</x:v>
      </x:c>
    </x:row>
    <x:row r="18" ht="15" hidden="0" customHeight="1">
      <x:c r="A18" s="147" t="str">
        <x:v>CAPITAL_CAPITAL</x:v>
      </x:c>
      <x:c r="B18" s="148" t="str">
        <x:v>Kg Adicional</x:v>
      </x:c>
      <x:c r="C18" s="148"/>
      <x:c r="D18" s="148"/>
      <x:c r="E18" s="111" t="str">
        <x:v>KG_ADICIONAL</x:v>
      </x:c>
      <x:c r="F18" s="171" t="n">
        <x:v>6.4</x:v>
      </x:c>
      <x:c r="G18" s="171" t="n">
        <x:v>7.3</x:v>
      </x:c>
      <x:c r="H18" s="171" t="n">
        <x:v>8.5</x:v>
      </x:c>
      <x:c r="I18" s="171" t="n">
        <x:v>9.6</x:v>
      </x:c>
      <x:c r="J18" s="171" t="n">
        <x:v>11.1</x:v>
      </x:c>
      <x:c r="K18" s="171" t="n">
        <x:v>13.7</x:v>
      </x:c>
      <x:c r="L18" s="171" t="n">
        <x:v>16.6</x:v>
      </x:c>
      <x:c r="M18" s="172" t="n">
        <x:v>20.7</x:v>
      </x:c>
    </x:row>
    <x:row r="19" ht="15" hidden="0" customHeight="1">
      <x:c r="A19" s="147" t="str">
        <x:v>CAPITAL_INTERIOR</x:v>
      </x:c>
      <x:c r="B19" s="148" t="str">
        <x:v>0 a 300</x:v>
      </x:c>
      <x:c r="C19" s="148" t="n">
        <x:v>0</x:v>
      </x:c>
      <x:c r="D19" s="148" t="n">
        <x:v>300</x:v>
      </x:c>
      <x:c r="E19" s="111" t="str">
        <x:v>FAIXA</x:v>
      </x:c>
      <x:c r="F19" s="171" t="n">
        <x:v>23.3</x:v>
      </x:c>
      <x:c r="G19" s="171" t="n">
        <x:v>26.9</x:v>
      </x:c>
      <x:c r="H19" s="171" t="n">
        <x:v>32.4</x:v>
      </x:c>
      <x:c r="I19" s="171" t="n">
        <x:v>39.1</x:v>
      </x:c>
      <x:c r="J19" s="171" t="n">
        <x:v>63.9</x:v>
      </x:c>
      <x:c r="K19" s="171" t="n">
        <x:v>87.5</x:v>
      </x:c>
      <x:c r="L19" s="171" t="n">
        <x:v>103.8</x:v>
      </x:c>
      <x:c r="M19" s="172" t="n">
        <x:v>139.6</x:v>
      </x:c>
    </x:row>
    <x:row r="20" ht="15" hidden="0" customHeight="1">
      <x:c r="A20" s="147" t="str">
        <x:v>CAPITAL_INTERIOR</x:v>
      </x:c>
      <x:c r="B20" s="148" t="str">
        <x:v>301 a 1000</x:v>
      </x:c>
      <x:c r="C20" s="148" t="n">
        <x:v>301</x:v>
      </x:c>
      <x:c r="D20" s="148" t="n">
        <x:v>1000</x:v>
      </x:c>
      <x:c r="E20" s="111" t="str">
        <x:v>FAIXA</x:v>
      </x:c>
      <x:c r="F20" s="171" t="n">
        <x:v>25.8</x:v>
      </x:c>
      <x:c r="G20" s="171" t="n">
        <x:v>29.8</x:v>
      </x:c>
      <x:c r="H20" s="171" t="n">
        <x:v>36</x:v>
      </x:c>
      <x:c r="I20" s="171" t="n">
        <x:v>43.4</x:v>
      </x:c>
      <x:c r="J20" s="171" t="n">
        <x:v>71</x:v>
      </x:c>
      <x:c r="K20" s="171" t="n">
        <x:v>97.2</x:v>
      </x:c>
      <x:c r="L20" s="171" t="n">
        <x:v>115.3</x:v>
      </x:c>
      <x:c r="M20" s="172" t="n">
        <x:v>155.1</x:v>
      </x:c>
    </x:row>
    <x:row r="21" ht="15" hidden="0" customHeight="1">
      <x:c r="A21" s="147" t="str">
        <x:v>CAPITAL_INTERIOR</x:v>
      </x:c>
      <x:c r="B21" s="148" t="str">
        <x:v>1001 a 2000</x:v>
      </x:c>
      <x:c r="C21" s="148" t="n">
        <x:v>1001</x:v>
      </x:c>
      <x:c r="D21" s="148" t="n">
        <x:v>2000</x:v>
      </x:c>
      <x:c r="E21" s="111" t="str">
        <x:v>FAIXA</x:v>
      </x:c>
      <x:c r="F21" s="171" t="n">
        <x:v>29.7</x:v>
      </x:c>
      <x:c r="G21" s="171" t="n">
        <x:v>33.5</x:v>
      </x:c>
      <x:c r="H21" s="171" t="n">
        <x:v>42.7</x:v>
      </x:c>
      <x:c r="I21" s="171" t="n">
        <x:v>50.2</x:v>
      </x:c>
      <x:c r="J21" s="171" t="n">
        <x:v>78.4</x:v>
      </x:c>
      <x:c r="K21" s="171" t="n">
        <x:v>105.3</x:v>
      </x:c>
      <x:c r="L21" s="171" t="n">
        <x:v>124.6</x:v>
      </x:c>
      <x:c r="M21" s="172" t="n">
        <x:v>165.2</x:v>
      </x:c>
    </x:row>
    <x:row r="22" ht="15" hidden="0" customHeight="1">
      <x:c r="A22" s="147" t="str">
        <x:v>CAPITAL_INTERIOR</x:v>
      </x:c>
      <x:c r="B22" s="148" t="str">
        <x:v>2001 a 3000</x:v>
      </x:c>
      <x:c r="C22" s="148" t="n">
        <x:v>2001</x:v>
      </x:c>
      <x:c r="D22" s="148" t="n">
        <x:v>3000</x:v>
      </x:c>
      <x:c r="E22" s="111" t="str">
        <x:v>FAIXA</x:v>
      </x:c>
      <x:c r="F22" s="171" t="n">
        <x:v>32</x:v>
      </x:c>
      <x:c r="G22" s="171" t="n">
        <x:v>36.5</x:v>
      </x:c>
      <x:c r="H22" s="171" t="n">
        <x:v>49.2</x:v>
      </x:c>
      <x:c r="I22" s="171" t="n">
        <x:v>57.5</x:v>
      </x:c>
      <x:c r="J22" s="171" t="n">
        <x:v>86.6</x:v>
      </x:c>
      <x:c r="K22" s="171" t="n">
        <x:v>115</x:v>
      </x:c>
      <x:c r="L22" s="171" t="n">
        <x:v>136</x:v>
      </x:c>
      <x:c r="M22" s="172" t="n">
        <x:v>179.3</x:v>
      </x:c>
    </x:row>
    <x:row r="23" ht="15" hidden="0" customHeight="1">
      <x:c r="A23" s="147" t="str">
        <x:v>CAPITAL_INTERIOR</x:v>
      </x:c>
      <x:c r="B23" s="148" t="str">
        <x:v>3001 a 4000</x:v>
      </x:c>
      <x:c r="C23" s="148" t="n">
        <x:v>3001</x:v>
      </x:c>
      <x:c r="D23" s="148" t="n">
        <x:v>4000</x:v>
      </x:c>
      <x:c r="E23" s="111" t="str">
        <x:v>FAIXA</x:v>
      </x:c>
      <x:c r="F23" s="171" t="n">
        <x:v>33.5</x:v>
      </x:c>
      <x:c r="G23" s="171" t="n">
        <x:v>39.4</x:v>
      </x:c>
      <x:c r="H23" s="171" t="n">
        <x:v>62.7</x:v>
      </x:c>
      <x:c r="I23" s="171" t="n">
        <x:v>71.7</x:v>
      </x:c>
      <x:c r="J23" s="171" t="n">
        <x:v>101.1</x:v>
      </x:c>
      <x:c r="K23" s="171" t="n">
        <x:v>130.2</x:v>
      </x:c>
      <x:c r="L23" s="171" t="n">
        <x:v>151.9</x:v>
      </x:c>
      <x:c r="M23" s="172" t="n">
        <x:v>196.5</x:v>
      </x:c>
    </x:row>
    <x:row r="24" ht="15" hidden="0" customHeight="1">
      <x:c r="A24" s="147" t="str">
        <x:v>CAPITAL_INTERIOR</x:v>
      </x:c>
      <x:c r="B24" s="148" t="str">
        <x:v>4001 a 5000</x:v>
      </x:c>
      <x:c r="C24" s="148" t="n">
        <x:v>4001</x:v>
      </x:c>
      <x:c r="D24" s="148" t="n">
        <x:v>5000</x:v>
      </x:c>
      <x:c r="E24" s="111" t="str">
        <x:v>FAIXA</x:v>
      </x:c>
      <x:c r="F24" s="171" t="n">
        <x:v>35.5</x:v>
      </x:c>
      <x:c r="G24" s="171" t="n">
        <x:v>42.6</x:v>
      </x:c>
      <x:c r="H24" s="171" t="n">
        <x:v>65.7</x:v>
      </x:c>
      <x:c r="I24" s="171" t="n">
        <x:v>75.1</x:v>
      </x:c>
      <x:c r="J24" s="171" t="n">
        <x:v>104.9</x:v>
      </x:c>
      <x:c r="K24" s="171" t="n">
        <x:v>134.4</x:v>
      </x:c>
      <x:c r="L24" s="171" t="n">
        <x:v>157.3</x:v>
      </x:c>
      <x:c r="M24" s="172" t="n">
        <x:v>202.8</x:v>
      </x:c>
    </x:row>
    <x:row r="25" ht="15" hidden="0" customHeight="1">
      <x:c r="A25" s="147" t="str">
        <x:v>CAPITAL_INTERIOR</x:v>
      </x:c>
      <x:c r="B25" s="148" t="str">
        <x:v>5001 a 6000</x:v>
      </x:c>
      <x:c r="C25" s="148" t="n">
        <x:v>5001</x:v>
      </x:c>
      <x:c r="D25" s="148" t="n">
        <x:v>6000</x:v>
      </x:c>
      <x:c r="E25" s="111" t="str">
        <x:v>FAIXA</x:v>
      </x:c>
      <x:c r="F25" s="171" t="n">
        <x:v>39.4</x:v>
      </x:c>
      <x:c r="G25" s="171" t="n">
        <x:v>47</x:v>
      </x:c>
      <x:c r="H25" s="171" t="n">
        <x:v>76.1</x:v>
      </x:c>
      <x:c r="I25" s="171" t="n">
        <x:v>87.6</x:v>
      </x:c>
      <x:c r="J25" s="171" t="n">
        <x:v>119.3</x:v>
      </x:c>
      <x:c r="K25" s="171" t="n">
        <x:v>153.6</x:v>
      </x:c>
      <x:c r="L25" s="171" t="n">
        <x:v>181.5</x:v>
      </x:c>
      <x:c r="M25" s="172" t="n">
        <x:v>234</x:v>
      </x:c>
    </x:row>
    <x:row r="26" ht="15" hidden="0" customHeight="1">
      <x:c r="A26" s="147" t="str">
        <x:v>CAPITAL_INTERIOR</x:v>
      </x:c>
      <x:c r="B26" s="148" t="str">
        <x:v>6001 a 7000</x:v>
      </x:c>
      <x:c r="C26" s="148" t="n">
        <x:v>6001</x:v>
      </x:c>
      <x:c r="D26" s="148" t="n">
        <x:v>7000</x:v>
      </x:c>
      <x:c r="E26" s="111" t="str">
        <x:v>FAIXA</x:v>
      </x:c>
      <x:c r="F26" s="171" t="n">
        <x:v>41.9</x:v>
      </x:c>
      <x:c r="G26" s="171" t="n">
        <x:v>49.5</x:v>
      </x:c>
      <x:c r="H26" s="171" t="n">
        <x:v>81.3</x:v>
      </x:c>
      <x:c r="I26" s="171" t="n">
        <x:v>93.5</x:v>
      </x:c>
      <x:c r="J26" s="171" t="n">
        <x:v>126.2</x:v>
      </x:c>
      <x:c r="K26" s="171" t="n">
        <x:v>162</x:v>
      </x:c>
      <x:c r="L26" s="171" t="n">
        <x:v>191.9</x:v>
      </x:c>
      <x:c r="M26" s="172" t="n">
        <x:v>247</x:v>
      </x:c>
    </x:row>
    <x:row r="27" ht="15" hidden="0" customHeight="1">
      <x:c r="A27" s="147" t="str">
        <x:v>CAPITAL_INTERIOR</x:v>
      </x:c>
      <x:c r="B27" s="148" t="str">
        <x:v>7001 a 8000</x:v>
      </x:c>
      <x:c r="C27" s="148" t="n">
        <x:v>7001</x:v>
      </x:c>
      <x:c r="D27" s="148" t="n">
        <x:v>8000</x:v>
      </x:c>
      <x:c r="E27" s="111" t="str">
        <x:v>FAIXA</x:v>
      </x:c>
      <x:c r="F27" s="171" t="n">
        <x:v>43.4</x:v>
      </x:c>
      <x:c r="G27" s="171" t="n">
        <x:v>52.3</x:v>
      </x:c>
      <x:c r="H27" s="171" t="n">
        <x:v>104.9</x:v>
      </x:c>
      <x:c r="I27" s="171" t="n">
        <x:v>117.4</x:v>
      </x:c>
      <x:c r="J27" s="171" t="n">
        <x:v>151.3</x:v>
      </x:c>
      <x:c r="K27" s="171" t="n">
        <x:v>188.4</x:v>
      </x:c>
      <x:c r="L27" s="171" t="n">
        <x:v>220.2</x:v>
      </x:c>
      <x:c r="M27" s="172" t="n">
        <x:v>278</x:v>
      </x:c>
    </x:row>
    <x:row r="28" ht="15" hidden="0" customHeight="1">
      <x:c r="A28" s="147" t="str">
        <x:v>CAPITAL_INTERIOR</x:v>
      </x:c>
      <x:c r="B28" s="148" t="str">
        <x:v>8001 a 9000</x:v>
      </x:c>
      <x:c r="C28" s="148" t="n">
        <x:v>8001</x:v>
      </x:c>
      <x:c r="D28" s="148" t="n">
        <x:v>9000</x:v>
      </x:c>
      <x:c r="E28" s="111" t="str">
        <x:v>FAIXA</x:v>
      </x:c>
      <x:c r="F28" s="171" t="n">
        <x:v>46.1</x:v>
      </x:c>
      <x:c r="G28" s="171" t="n">
        <x:v>55</x:v>
      </x:c>
      <x:c r="H28" s="171" t="n">
        <x:v>107.7</x:v>
      </x:c>
      <x:c r="I28" s="171" t="n">
        <x:v>120.9</x:v>
      </x:c>
      <x:c r="J28" s="171" t="n">
        <x:v>155.1</x:v>
      </x:c>
      <x:c r="K28" s="171" t="n">
        <x:v>193.2</x:v>
      </x:c>
      <x:c r="L28" s="171" t="n">
        <x:v>226</x:v>
      </x:c>
      <x:c r="M28" s="172" t="n">
        <x:v>285.2</x:v>
      </x:c>
    </x:row>
    <x:row r="29" ht="15" hidden="0" customHeight="1">
      <x:c r="A29" s="147" t="str">
        <x:v>CAPITAL_INTERIOR</x:v>
      </x:c>
      <x:c r="B29" s="148" t="str">
        <x:v>9001 a 10000</x:v>
      </x:c>
      <x:c r="C29" s="148" t="n">
        <x:v>9001</x:v>
      </x:c>
      <x:c r="D29" s="148" t="n">
        <x:v>10000</x:v>
      </x:c>
      <x:c r="E29" s="111" t="str">
        <x:v>FAIXA</x:v>
      </x:c>
      <x:c r="F29" s="171" t="n">
        <x:v>48.5</x:v>
      </x:c>
      <x:c r="G29" s="171" t="n">
        <x:v>57.2</x:v>
      </x:c>
      <x:c r="H29" s="171" t="n">
        <x:v>109.7</x:v>
      </x:c>
      <x:c r="I29" s="171" t="n">
        <x:v>123.2</x:v>
      </x:c>
      <x:c r="J29" s="171" t="n">
        <x:v>157.7</x:v>
      </x:c>
      <x:c r="K29" s="171" t="n">
        <x:v>196.6</x:v>
      </x:c>
      <x:c r="L29" s="171" t="n">
        <x:v>230.3</x:v>
      </x:c>
      <x:c r="M29" s="172" t="n">
        <x:v>290.4</x:v>
      </x:c>
    </x:row>
    <x:row r="30" ht="15" hidden="0" customHeight="1">
      <x:c r="A30" s="149" t="str">
        <x:v>CAPITAL_INTERIOR</x:v>
      </x:c>
      <x:c r="B30" s="150" t="str">
        <x:v>Kg Adicional</x:v>
      </x:c>
      <x:c r="C30" s="150"/>
      <x:c r="D30" s="150"/>
      <x:c r="E30" s="112" t="str">
        <x:v>KG_ADICIONAL</x:v>
      </x:c>
      <x:c r="F30" s="173" t="n">
        <x:v>6.4</x:v>
      </x:c>
      <x:c r="G30" s="173" t="n">
        <x:v>7.3</x:v>
      </x:c>
      <x:c r="H30" s="173" t="n">
        <x:v>14.1</x:v>
      </x:c>
      <x:c r="I30" s="173" t="n">
        <x:v>15.6</x:v>
      </x:c>
      <x:c r="J30" s="173" t="n">
        <x:v>20.1</x:v>
      </x:c>
      <x:c r="K30" s="173" t="n">
        <x:v>24.8</x:v>
      </x:c>
      <x:c r="L30" s="173" t="n">
        <x:v>28.9</x:v>
      </x:c>
      <x:c r="M30" s="174" t="n">
        <x:v>36.4</x:v>
      </x:c>
    </x:row>
  </x:sheetData>
  <x:mergeCells>
    <x:mergeCell ref="A1:M1"/>
    <x:mergeCell ref="A2:M2"/>
  </x:mergeCells>
  <x:conditionalFormatting sqref="D7:D100">
    <x:cfRule type="expression" dxfId="4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4875d1619547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19.200000762939453" hidden="0" customHeight="1">
      <x:c r="A1" s="5" t="str">
        <x:v>SEDEX À VISTA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12" t="str">
        <x:v>Origem Ceará. Blocos Capital-Capital e Capital-Interior em uma única tabela estruturada.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0401-4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SEDEX À VISTA_04014_2026.xlsm - aba CE</x:v>
      </x:c>
    </x:row>
    <x:row r="5"/>
    <x:row r="6" ht="15" hidden="0" customHeight="1">
      <x:c r="A6" s="24" t="str">
        <x:v>BLOCO_DESTINO</x:v>
      </x:c>
      <x:c r="B6" s="99" t="str">
        <x:v>FAIXA_PESO</x:v>
      </x:c>
      <x:c r="C6" s="99" t="str">
        <x:v>PESO_MIN_G</x:v>
      </x:c>
      <x:c r="D6" s="99" t="str">
        <x:v>PESO_MAX_G</x:v>
      </x:c>
      <x:c r="E6" s="99" t="str">
        <x:v>TIPO_FAIXA</x:v>
      </x:c>
      <x:c r="F6" s="99" t="str">
        <x:v>LOCAL</x:v>
      </x:c>
      <x:c r="G6" s="99" t="str">
        <x:v>ESTADUAL</x:v>
      </x:c>
      <x:c r="H6" s="99" t="str">
        <x:v>MA_PB_PE_PI_RN</x:v>
      </x:c>
      <x:c r="I6" s="99" t="str">
        <x:v>AL_SE_ES</x:v>
      </x:c>
      <x:c r="J6" s="99" t="str">
        <x:v>BA_PA_MG_RJ</x:v>
      </x:c>
      <x:c r="K6" s="99" t="str">
        <x:v>AP_DF_GO_SP</x:v>
      </x:c>
      <x:c r="L6" s="99" t="str">
        <x:v>MT_MS_AM_PR_RO_RR_TO</x:v>
      </x:c>
      <x:c r="M6" s="25" t="str">
        <x:v>SC_AC_RS</x:v>
      </x:c>
    </x:row>
    <x:row r="7" ht="15" hidden="0" customHeight="1">
      <x:c r="A7" s="145" t="str">
        <x:v>CAPITAL_CAPITAL</x:v>
      </x:c>
      <x:c r="B7" s="146" t="str">
        <x:v>até 300</x:v>
      </x:c>
      <x:c r="C7" s="146" t="n">
        <x:v>0</x:v>
      </x:c>
      <x:c r="D7" s="146" t="n">
        <x:v>300</x:v>
      </x:c>
      <x:c r="E7" s="110" t="str">
        <x:v>FAIXA</x:v>
      </x:c>
      <x:c r="F7" s="169" t="n">
        <x:v>25.8</x:v>
      </x:c>
      <x:c r="G7" s="169" t="n">
        <x:v>31.6</x:v>
      </x:c>
      <x:c r="H7" s="169" t="n">
        <x:v>43</x:v>
      </x:c>
      <x:c r="I7" s="169" t="n">
        <x:v>60.1</x:v>
      </x:c>
      <x:c r="J7" s="169" t="n">
        <x:v>77.1</x:v>
      </x:c>
      <x:c r="K7" s="169" t="n">
        <x:v>89.8</x:v>
      </x:c>
      <x:c r="L7" s="169" t="n">
        <x:v>107</x:v>
      </x:c>
      <x:c r="M7" s="170" t="n">
        <x:v>128.3</x:v>
      </x:c>
    </x:row>
    <x:row r="8" ht="15" hidden="0" customHeight="1">
      <x:c r="A8" s="147" t="str">
        <x:v>CAPITAL_CAPITAL</x:v>
      </x:c>
      <x:c r="B8" s="148" t="str">
        <x:v>301 a 1000</x:v>
      </x:c>
      <x:c r="C8" s="148" t="n">
        <x:v>301</x:v>
      </x:c>
      <x:c r="D8" s="148" t="n">
        <x:v>1000</x:v>
      </x:c>
      <x:c r="E8" s="111" t="str">
        <x:v>FAIXA</x:v>
      </x:c>
      <x:c r="F8" s="171" t="n">
        <x:v>27.6</x:v>
      </x:c>
      <x:c r="G8" s="171" t="n">
        <x:v>34</x:v>
      </x:c>
      <x:c r="H8" s="171" t="n">
        <x:v>46.8</x:v>
      </x:c>
      <x:c r="I8" s="171" t="n">
        <x:v>65</x:v>
      </x:c>
      <x:c r="J8" s="171" t="n">
        <x:v>83.6</x:v>
      </x:c>
      <x:c r="K8" s="171" t="n">
        <x:v>97.3</x:v>
      </x:c>
      <x:c r="L8" s="171" t="n">
        <x:v>115.8</x:v>
      </x:c>
      <x:c r="M8" s="172" t="n">
        <x:v>138.8</x:v>
      </x:c>
    </x:row>
    <x:row r="9" ht="15" hidden="0" customHeight="1">
      <x:c r="A9" s="147" t="str">
        <x:v>CAPITAL_CAPITAL</x:v>
      </x:c>
      <x:c r="B9" s="148" t="str">
        <x:v>1001 a 2000</x:v>
      </x:c>
      <x:c r="C9" s="148" t="n">
        <x:v>1001</x:v>
      </x:c>
      <x:c r="D9" s="148" t="n">
        <x:v>2000</x:v>
      </x:c>
      <x:c r="E9" s="111" t="str">
        <x:v>FAIXA</x:v>
      </x:c>
      <x:c r="F9" s="171" t="n">
        <x:v>30.6</x:v>
      </x:c>
      <x:c r="G9" s="171" t="n">
        <x:v>37.2</x:v>
      </x:c>
      <x:c r="H9" s="171" t="n">
        <x:v>56.1</x:v>
      </x:c>
      <x:c r="I9" s="171" t="n">
        <x:v>78.4</x:v>
      </x:c>
      <x:c r="J9" s="171" t="n">
        <x:v>100.8</x:v>
      </x:c>
      <x:c r="K9" s="171" t="n">
        <x:v>117.4</x:v>
      </x:c>
      <x:c r="L9" s="171" t="n">
        <x:v>139.7</x:v>
      </x:c>
      <x:c r="M9" s="172" t="n">
        <x:v>167.5</x:v>
      </x:c>
    </x:row>
    <x:row r="10" ht="15" hidden="0" customHeight="1">
      <x:c r="A10" s="147" t="str">
        <x:v>CAPITAL_CAPITAL</x:v>
      </x:c>
      <x:c r="B10" s="148" t="str">
        <x:v>2001 a 3000</x:v>
      </x:c>
      <x:c r="C10" s="148" t="n">
        <x:v>2001</x:v>
      </x:c>
      <x:c r="D10" s="148" t="n">
        <x:v>3000</x:v>
      </x:c>
      <x:c r="E10" s="111" t="str">
        <x:v>FAIXA</x:v>
      </x:c>
      <x:c r="F10" s="171" t="n">
        <x:v>33.4</x:v>
      </x:c>
      <x:c r="G10" s="171" t="n">
        <x:v>40.7</x:v>
      </x:c>
      <x:c r="H10" s="171" t="n">
        <x:v>65.6</x:v>
      </x:c>
      <x:c r="I10" s="171" t="n">
        <x:v>88.1</x:v>
      </x:c>
      <x:c r="J10" s="171" t="n">
        <x:v>123.9</x:v>
      </x:c>
      <x:c r="K10" s="171" t="n">
        <x:v>149.7</x:v>
      </x:c>
      <x:c r="L10" s="171" t="n">
        <x:v>188.9</x:v>
      </x:c>
      <x:c r="M10" s="172" t="n">
        <x:v>234.4</x:v>
      </x:c>
    </x:row>
    <x:row r="11" ht="15" hidden="0" customHeight="1">
      <x:c r="A11" s="147" t="str">
        <x:v>CAPITAL_CAPITAL</x:v>
      </x:c>
      <x:c r="B11" s="148" t="str">
        <x:v>3001 a 4000</x:v>
      </x:c>
      <x:c r="C11" s="148" t="n">
        <x:v>3001</x:v>
      </x:c>
      <x:c r="D11" s="148" t="n">
        <x:v>4000</x:v>
      </x:c>
      <x:c r="E11" s="111" t="str">
        <x:v>FAIXA</x:v>
      </x:c>
      <x:c r="F11" s="171" t="n">
        <x:v>36.8</x:v>
      </x:c>
      <x:c r="G11" s="171" t="n">
        <x:v>44.8</x:v>
      </x:c>
      <x:c r="H11" s="171" t="n">
        <x:v>75.1</x:v>
      </x:c>
      <x:c r="I11" s="171" t="n">
        <x:v>101.1</x:v>
      </x:c>
      <x:c r="J11" s="171" t="n">
        <x:v>142.1</x:v>
      </x:c>
      <x:c r="K11" s="171" t="n">
        <x:v>171.8</x:v>
      </x:c>
      <x:c r="L11" s="171" t="n">
        <x:v>216.6</x:v>
      </x:c>
      <x:c r="M11" s="172" t="n">
        <x:v>268.8</x:v>
      </x:c>
    </x:row>
    <x:row r="12" ht="15" hidden="0" customHeight="1">
      <x:c r="A12" s="147" t="str">
        <x:v>CAPITAL_CAPITAL</x:v>
      </x:c>
      <x:c r="B12" s="148" t="str">
        <x:v>4001 a 5000</x:v>
      </x:c>
      <x:c r="C12" s="148" t="n">
        <x:v>4001</x:v>
      </x:c>
      <x:c r="D12" s="148" t="n">
        <x:v>5000</x:v>
      </x:c>
      <x:c r="E12" s="111" t="str">
        <x:v>FAIXA</x:v>
      </x:c>
      <x:c r="F12" s="171" t="n">
        <x:v>39.1</x:v>
      </x:c>
      <x:c r="G12" s="171" t="n">
        <x:v>48.2</x:v>
      </x:c>
      <x:c r="H12" s="171" t="n">
        <x:v>82.7</x:v>
      </x:c>
      <x:c r="I12" s="171" t="n">
        <x:v>111.7</x:v>
      </x:c>
      <x:c r="J12" s="171" t="n">
        <x:v>156.6</x:v>
      </x:c>
      <x:c r="K12" s="171" t="n">
        <x:v>189.4</x:v>
      </x:c>
      <x:c r="L12" s="171" t="n">
        <x:v>238.9</x:v>
      </x:c>
      <x:c r="M12" s="172" t="n">
        <x:v>296.6</x:v>
      </x:c>
    </x:row>
    <x:row r="13" ht="15" hidden="0" customHeight="1">
      <x:c r="A13" s="147" t="str">
        <x:v>CAPITAL_CAPITAL</x:v>
      </x:c>
      <x:c r="B13" s="148" t="str">
        <x:v>5001 a 6000</x:v>
      </x:c>
      <x:c r="C13" s="148" t="n">
        <x:v>5001</x:v>
      </x:c>
      <x:c r="D13" s="148" t="n">
        <x:v>6000</x:v>
      </x:c>
      <x:c r="E13" s="111" t="str">
        <x:v>FAIXA</x:v>
      </x:c>
      <x:c r="F13" s="171" t="n">
        <x:v>41.9</x:v>
      </x:c>
      <x:c r="G13" s="171" t="n">
        <x:v>52</x:v>
      </x:c>
      <x:c r="H13" s="171" t="n">
        <x:v>90.6</x:v>
      </x:c>
      <x:c r="I13" s="171" t="n">
        <x:v>122.3</x:v>
      </x:c>
      <x:c r="J13" s="171" t="n">
        <x:v>171.7</x:v>
      </x:c>
      <x:c r="K13" s="171" t="n">
        <x:v>207.7</x:v>
      </x:c>
      <x:c r="L13" s="171" t="n">
        <x:v>261.9</x:v>
      </x:c>
      <x:c r="M13" s="172" t="n">
        <x:v>325.2</x:v>
      </x:c>
    </x:row>
    <x:row r="14" ht="15" hidden="0" customHeight="1">
      <x:c r="A14" s="147" t="str">
        <x:v>CAPITAL_CAPITAL</x:v>
      </x:c>
      <x:c r="B14" s="148" t="str">
        <x:v>6001 a 7000</x:v>
      </x:c>
      <x:c r="C14" s="148" t="n">
        <x:v>6001</x:v>
      </x:c>
      <x:c r="D14" s="148" t="n">
        <x:v>7000</x:v>
      </x:c>
      <x:c r="E14" s="111" t="str">
        <x:v>FAIXA</x:v>
      </x:c>
      <x:c r="F14" s="171" t="n">
        <x:v>44.9</x:v>
      </x:c>
      <x:c r="G14" s="171" t="n">
        <x:v>55.8</x:v>
      </x:c>
      <x:c r="H14" s="171" t="n">
        <x:v>99.7</x:v>
      </x:c>
      <x:c r="I14" s="171" t="n">
        <x:v>134.6</x:v>
      </x:c>
      <x:c r="J14" s="171" t="n">
        <x:v>189.3</x:v>
      </x:c>
      <x:c r="K14" s="171" t="n">
        <x:v>229.2</x:v>
      </x:c>
      <x:c r="L14" s="171" t="n">
        <x:v>289</x:v>
      </x:c>
      <x:c r="M14" s="172" t="n">
        <x:v>358.5</x:v>
      </x:c>
    </x:row>
    <x:row r="15" ht="15" hidden="0" customHeight="1">
      <x:c r="A15" s="147" t="str">
        <x:v>CAPITAL_CAPITAL</x:v>
      </x:c>
      <x:c r="B15" s="148" t="str">
        <x:v>7001 a 8000</x:v>
      </x:c>
      <x:c r="C15" s="148" t="n">
        <x:v>7001</x:v>
      </x:c>
      <x:c r="D15" s="148" t="n">
        <x:v>8000</x:v>
      </x:c>
      <x:c r="E15" s="111" t="str">
        <x:v>FAIXA</x:v>
      </x:c>
      <x:c r="F15" s="171" t="n">
        <x:v>47.8</x:v>
      </x:c>
      <x:c r="G15" s="171" t="n">
        <x:v>59.7</x:v>
      </x:c>
      <x:c r="H15" s="171" t="n">
        <x:v>109.4</x:v>
      </x:c>
      <x:c r="I15" s="171" t="n">
        <x:v>147.6</x:v>
      </x:c>
      <x:c r="J15" s="171" t="n">
        <x:v>207.5</x:v>
      </x:c>
      <x:c r="K15" s="171" t="n">
        <x:v>251.1</x:v>
      </x:c>
      <x:c r="L15" s="171" t="n">
        <x:v>316.7</x:v>
      </x:c>
      <x:c r="M15" s="172" t="n">
        <x:v>392.9</x:v>
      </x:c>
    </x:row>
    <x:row r="16" ht="15" hidden="0" customHeight="1">
      <x:c r="A16" s="147" t="str">
        <x:v>CAPITAL_CAPITAL</x:v>
      </x:c>
      <x:c r="B16" s="148" t="str">
        <x:v>8001 a 9000</x:v>
      </x:c>
      <x:c r="C16" s="148" t="n">
        <x:v>8001</x:v>
      </x:c>
      <x:c r="D16" s="148" t="n">
        <x:v>9000</x:v>
      </x:c>
      <x:c r="E16" s="111" t="str">
        <x:v>FAIXA</x:v>
      </x:c>
      <x:c r="F16" s="171" t="n">
        <x:v>51</x:v>
      </x:c>
      <x:c r="G16" s="171" t="n">
        <x:v>63.5</x:v>
      </x:c>
      <x:c r="H16" s="171" t="n">
        <x:v>119.1</x:v>
      </x:c>
      <x:c r="I16" s="171" t="n">
        <x:v>160.4</x:v>
      </x:c>
      <x:c r="J16" s="171" t="n">
        <x:v>225.5</x:v>
      </x:c>
      <x:c r="K16" s="171" t="n">
        <x:v>273.2</x:v>
      </x:c>
      <x:c r="L16" s="171" t="n">
        <x:v>343.9</x:v>
      </x:c>
      <x:c r="M16" s="172" t="n">
        <x:v>427.1</x:v>
      </x:c>
    </x:row>
    <x:row r="17" ht="15" hidden="0" customHeight="1">
      <x:c r="A17" s="147" t="str">
        <x:v>CAPITAL_CAPITAL</x:v>
      </x:c>
      <x:c r="B17" s="148" t="str">
        <x:v>9001 a 10000</x:v>
      </x:c>
      <x:c r="C17" s="148" t="n">
        <x:v>9001</x:v>
      </x:c>
      <x:c r="D17" s="148" t="n">
        <x:v>10000</x:v>
      </x:c>
      <x:c r="E17" s="111" t="str">
        <x:v>FAIXA</x:v>
      </x:c>
      <x:c r="F17" s="171" t="n">
        <x:v>53.8</x:v>
      </x:c>
      <x:c r="G17" s="171" t="n">
        <x:v>67.8</x:v>
      </x:c>
      <x:c r="H17" s="171" t="n">
        <x:v>128.4</x:v>
      </x:c>
      <x:c r="I17" s="171" t="n">
        <x:v>173.3</x:v>
      </x:c>
      <x:c r="J17" s="171" t="n">
        <x:v>243.6</x:v>
      </x:c>
      <x:c r="K17" s="171" t="n">
        <x:v>295</x:v>
      </x:c>
      <x:c r="L17" s="171" t="n">
        <x:v>371.6</x:v>
      </x:c>
      <x:c r="M17" s="172" t="n">
        <x:v>461.3</x:v>
      </x:c>
    </x:row>
    <x:row r="18" ht="15" hidden="0" customHeight="1">
      <x:c r="A18" s="147" t="str">
        <x:v>CAPITAL_CAPITAL</x:v>
      </x:c>
      <x:c r="B18" s="148" t="str">
        <x:v>Kg Adicional</x:v>
      </x:c>
      <x:c r="C18" s="148"/>
      <x:c r="D18" s="148"/>
      <x:c r="E18" s="111" t="str">
        <x:v>KG_ADICIONAL</x:v>
      </x:c>
      <x:c r="F18" s="171" t="n">
        <x:v>7.1</x:v>
      </x:c>
      <x:c r="G18" s="171" t="n">
        <x:v>8.8</x:v>
      </x:c>
      <x:c r="H18" s="171" t="n">
        <x:v>16.4</x:v>
      </x:c>
      <x:c r="I18" s="171" t="n">
        <x:v>21.8</x:v>
      </x:c>
      <x:c r="J18" s="171" t="n">
        <x:v>30.6</x:v>
      </x:c>
      <x:c r="K18" s="171" t="n">
        <x:v>36.9</x:v>
      </x:c>
      <x:c r="L18" s="171" t="n">
        <x:v>46.4</x:v>
      </x:c>
      <x:c r="M18" s="172" t="n">
        <x:v>57.5</x:v>
      </x:c>
    </x:row>
    <x:row r="19" ht="15" hidden="0" customHeight="1">
      <x:c r="A19" s="147" t="str">
        <x:v>CAPITAL_INTERIOR</x:v>
      </x:c>
      <x:c r="B19" s="148" t="str">
        <x:v>até 300</x:v>
      </x:c>
      <x:c r="C19" s="148" t="n">
        <x:v>0</x:v>
      </x:c>
      <x:c r="D19" s="148" t="n">
        <x:v>300</x:v>
      </x:c>
      <x:c r="E19" s="111" t="str">
        <x:v>FAIXA</x:v>
      </x:c>
      <x:c r="F19" s="171" t="n">
        <x:v>25.8</x:v>
      </x:c>
      <x:c r="G19" s="171" t="n">
        <x:v>31.6</x:v>
      </x:c>
      <x:c r="H19" s="171" t="n">
        <x:v>68</x:v>
      </x:c>
      <x:c r="I19" s="171" t="n">
        <x:v>86.6</x:v>
      </x:c>
      <x:c r="J19" s="171" t="n">
        <x:v>104.5</x:v>
      </x:c>
      <x:c r="K19" s="171" t="n">
        <x:v>119.9</x:v>
      </x:c>
      <x:c r="L19" s="171" t="n">
        <x:v>141.9</x:v>
      </x:c>
      <x:c r="M19" s="172" t="n">
        <x:v>186.5</x:v>
      </x:c>
    </x:row>
    <x:row r="20" ht="15" hidden="0" customHeight="1">
      <x:c r="A20" s="147" t="str">
        <x:v>CAPITAL_INTERIOR</x:v>
      </x:c>
      <x:c r="B20" s="148" t="str">
        <x:v>301 a 1000</x:v>
      </x:c>
      <x:c r="C20" s="148" t="n">
        <x:v>301</x:v>
      </x:c>
      <x:c r="D20" s="148" t="n">
        <x:v>1000</x:v>
      </x:c>
      <x:c r="E20" s="111" t="str">
        <x:v>FAIXA</x:v>
      </x:c>
      <x:c r="F20" s="171" t="n">
        <x:v>27.6</x:v>
      </x:c>
      <x:c r="G20" s="171" t="n">
        <x:v>34</x:v>
      </x:c>
      <x:c r="H20" s="171" t="n">
        <x:v>71.4</x:v>
      </x:c>
      <x:c r="I20" s="171" t="n">
        <x:v>91.7</x:v>
      </x:c>
      <x:c r="J20" s="171" t="n">
        <x:v>110.8</x:v>
      </x:c>
      <x:c r="K20" s="171" t="n">
        <x:v>127.4</x:v>
      </x:c>
      <x:c r="L20" s="171" t="n">
        <x:v>150.8</x:v>
      </x:c>
      <x:c r="M20" s="172" t="n">
        <x:v>197.1</x:v>
      </x:c>
    </x:row>
    <x:row r="21" ht="15" hidden="0" customHeight="1">
      <x:c r="A21" s="147" t="str">
        <x:v>CAPITAL_INTERIOR</x:v>
      </x:c>
      <x:c r="B21" s="148" t="str">
        <x:v>1001 a 2000</x:v>
      </x:c>
      <x:c r="C21" s="148" t="n">
        <x:v>1001</x:v>
      </x:c>
      <x:c r="D21" s="148" t="n">
        <x:v>2000</x:v>
      </x:c>
      <x:c r="E21" s="111" t="str">
        <x:v>FAIXA</x:v>
      </x:c>
      <x:c r="F21" s="171" t="n">
        <x:v>30.6</x:v>
      </x:c>
      <x:c r="G21" s="171" t="n">
        <x:v>37.2</x:v>
      </x:c>
      <x:c r="H21" s="171" t="n">
        <x:v>89.2</x:v>
      </x:c>
      <x:c r="I21" s="171" t="n">
        <x:v>113.1</x:v>
      </x:c>
      <x:c r="J21" s="171" t="n">
        <x:v>136.2</x:v>
      </x:c>
      <x:c r="K21" s="171" t="n">
        <x:v>155.5</x:v>
      </x:c>
      <x:c r="L21" s="171" t="n">
        <x:v>182.8</x:v>
      </x:c>
      <x:c r="M21" s="172" t="n">
        <x:v>233.9</x:v>
      </x:c>
    </x:row>
    <x:row r="22" ht="15" hidden="0" customHeight="1">
      <x:c r="A22" s="147" t="str">
        <x:v>CAPITAL_INTERIOR</x:v>
      </x:c>
      <x:c r="B22" s="148" t="str">
        <x:v>2001 a 3000</x:v>
      </x:c>
      <x:c r="C22" s="148" t="n">
        <x:v>2001</x:v>
      </x:c>
      <x:c r="D22" s="148" t="n">
        <x:v>3000</x:v>
      </x:c>
      <x:c r="E22" s="111" t="str">
        <x:v>FAIXA</x:v>
      </x:c>
      <x:c r="F22" s="171" t="n">
        <x:v>33.4</x:v>
      </x:c>
      <x:c r="G22" s="171" t="n">
        <x:v>40.7</x:v>
      </x:c>
      <x:c r="H22" s="171" t="n">
        <x:v>107</x:v>
      </x:c>
      <x:c r="I22" s="171" t="n">
        <x:v>131.2</x:v>
      </x:c>
      <x:c r="J22" s="171" t="n">
        <x:v>168</x:v>
      </x:c>
      <x:c r="K22" s="171" t="n">
        <x:v>196.6</x:v>
      </x:c>
      <x:c r="L22" s="171" t="n">
        <x:v>240.3</x:v>
      </x:c>
      <x:c r="M22" s="172" t="n">
        <x:v>309.5</x:v>
      </x:c>
    </x:row>
    <x:row r="23" ht="15" hidden="0" customHeight="1">
      <x:c r="A23" s="147" t="str">
        <x:v>CAPITAL_INTERIOR</x:v>
      </x:c>
      <x:c r="B23" s="148" t="str">
        <x:v>3001 a 4000</x:v>
      </x:c>
      <x:c r="C23" s="148" t="n">
        <x:v>3001</x:v>
      </x:c>
      <x:c r="D23" s="148" t="n">
        <x:v>4000</x:v>
      </x:c>
      <x:c r="E23" s="111" t="str">
        <x:v>FAIXA</x:v>
      </x:c>
      <x:c r="F23" s="171" t="n">
        <x:v>36.8</x:v>
      </x:c>
      <x:c r="G23" s="171" t="n">
        <x:v>44.8</x:v>
      </x:c>
      <x:c r="H23" s="171" t="n">
        <x:v>116.6</x:v>
      </x:c>
      <x:c r="I23" s="171" t="n">
        <x:v>144.3</x:v>
      </x:c>
      <x:c r="J23" s="171" t="n">
        <x:v>186.1</x:v>
      </x:c>
      <x:c r="K23" s="171" t="n">
        <x:v>218.3</x:v>
      </x:c>
      <x:c r="L23" s="171" t="n">
        <x:v>268.1</x:v>
      </x:c>
      <x:c r="M23" s="172" t="n">
        <x:v>343.4</x:v>
      </x:c>
    </x:row>
    <x:row r="24" ht="15" hidden="0" customHeight="1">
      <x:c r="A24" s="147" t="str">
        <x:v>CAPITAL_INTERIOR</x:v>
      </x:c>
      <x:c r="B24" s="148" t="str">
        <x:v>4001 a 5000</x:v>
      </x:c>
      <x:c r="C24" s="148" t="n">
        <x:v>4001</x:v>
      </x:c>
      <x:c r="D24" s="148" t="n">
        <x:v>5000</x:v>
      </x:c>
      <x:c r="E24" s="111" t="str">
        <x:v>FAIXA</x:v>
      </x:c>
      <x:c r="F24" s="171" t="n">
        <x:v>39.1</x:v>
      </x:c>
      <x:c r="G24" s="171" t="n">
        <x:v>48.2</x:v>
      </x:c>
      <x:c r="H24" s="171" t="n">
        <x:v>140.7</x:v>
      </x:c>
      <x:c r="I24" s="171" t="n">
        <x:v>171.1</x:v>
      </x:c>
      <x:c r="J24" s="171" t="n">
        <x:v>217.3</x:v>
      </x:c>
      <x:c r="K24" s="171" t="n">
        <x:v>252.8</x:v>
      </x:c>
      <x:c r="L24" s="171" t="n">
        <x:v>307</x:v>
      </x:c>
      <x:c r="M24" s="172" t="n">
        <x:v>387.9</x:v>
      </x:c>
    </x:row>
    <x:row r="25" ht="15" hidden="0" customHeight="1">
      <x:c r="A25" s="147" t="str">
        <x:v>CAPITAL_INTERIOR</x:v>
      </x:c>
      <x:c r="B25" s="148" t="str">
        <x:v>5001 a 6000</x:v>
      </x:c>
      <x:c r="C25" s="148" t="n">
        <x:v>5001</x:v>
      </x:c>
      <x:c r="D25" s="148" t="n">
        <x:v>6000</x:v>
      </x:c>
      <x:c r="E25" s="111" t="str">
        <x:v>FAIXA</x:v>
      </x:c>
      <x:c r="F25" s="171" t="n">
        <x:v>41.9</x:v>
      </x:c>
      <x:c r="G25" s="171" t="n">
        <x:v>52</x:v>
      </x:c>
      <x:c r="H25" s="171" t="n">
        <x:v>148.8</x:v>
      </x:c>
      <x:c r="I25" s="171" t="n">
        <x:v>181.9</x:v>
      </x:c>
      <x:c r="J25" s="171" t="n">
        <x:v>232.3</x:v>
      </x:c>
      <x:c r="K25" s="171" t="n">
        <x:v>271</x:v>
      </x:c>
      <x:c r="L25" s="171" t="n">
        <x:v>330.1</x:v>
      </x:c>
      <x:c r="M25" s="172" t="n">
        <x:v>416.3</x:v>
      </x:c>
    </x:row>
    <x:row r="26" ht="15" hidden="0" customHeight="1">
      <x:c r="A26" s="147" t="str">
        <x:v>CAPITAL_INTERIOR</x:v>
      </x:c>
      <x:c r="B26" s="148" t="str">
        <x:v>6001 a 7000</x:v>
      </x:c>
      <x:c r="C26" s="148" t="n">
        <x:v>6001</x:v>
      </x:c>
      <x:c r="D26" s="148" t="n">
        <x:v>7000</x:v>
      </x:c>
      <x:c r="E26" s="111" t="str">
        <x:v>FAIXA</x:v>
      </x:c>
      <x:c r="F26" s="171" t="n">
        <x:v>44.9</x:v>
      </x:c>
      <x:c r="G26" s="171" t="n">
        <x:v>55.8</x:v>
      </x:c>
      <x:c r="H26" s="171" t="n">
        <x:v>158</x:v>
      </x:c>
      <x:c r="I26" s="171" t="n">
        <x:v>194.6</x:v>
      </x:c>
      <x:c r="J26" s="171" t="n">
        <x:v>250.2</x:v>
      </x:c>
      <x:c r="K26" s="171" t="n">
        <x:v>292.4</x:v>
      </x:c>
      <x:c r="L26" s="171" t="n">
        <x:v>357</x:v>
      </x:c>
      <x:c r="M26" s="172" t="n">
        <x:v>450.1</x:v>
      </x:c>
    </x:row>
    <x:row r="27" ht="15" hidden="0" customHeight="1">
      <x:c r="A27" s="147" t="str">
        <x:v>CAPITAL_INTERIOR</x:v>
      </x:c>
      <x:c r="B27" s="148" t="str">
        <x:v>7001 a 8000</x:v>
      </x:c>
      <x:c r="C27" s="148" t="n">
        <x:v>7001</x:v>
      </x:c>
      <x:c r="D27" s="148" t="n">
        <x:v>8000</x:v>
      </x:c>
      <x:c r="E27" s="111" t="str">
        <x:v>FAIXA</x:v>
      </x:c>
      <x:c r="F27" s="171" t="n">
        <x:v>47.8</x:v>
      </x:c>
      <x:c r="G27" s="171" t="n">
        <x:v>59.7</x:v>
      </x:c>
      <x:c r="H27" s="171" t="n">
        <x:v>175.8</x:v>
      </x:c>
      <x:c r="I27" s="171" t="n">
        <x:v>215.6</x:v>
      </x:c>
      <x:c r="J27" s="171" t="n">
        <x:v>276.4</x:v>
      </x:c>
      <x:c r="K27" s="171" t="n">
        <x:v>322.8</x:v>
      </x:c>
      <x:c r="L27" s="171" t="n">
        <x:v>393</x:v>
      </x:c>
      <x:c r="M27" s="172" t="n">
        <x:v>492.6</x:v>
      </x:c>
    </x:row>
    <x:row r="28" ht="15" hidden="0" customHeight="1">
      <x:c r="A28" s="147" t="str">
        <x:v>CAPITAL_INTERIOR</x:v>
      </x:c>
      <x:c r="B28" s="148" t="str">
        <x:v>8001 a 9000</x:v>
      </x:c>
      <x:c r="C28" s="148" t="n">
        <x:v>8001</x:v>
      </x:c>
      <x:c r="D28" s="148" t="n">
        <x:v>9000</x:v>
      </x:c>
      <x:c r="E28" s="111" t="str">
        <x:v>FAIXA</x:v>
      </x:c>
      <x:c r="F28" s="171" t="n">
        <x:v>51</x:v>
      </x:c>
      <x:c r="G28" s="171" t="n">
        <x:v>63.5</x:v>
      </x:c>
      <x:c r="H28" s="171" t="n">
        <x:v>185.6</x:v>
      </x:c>
      <x:c r="I28" s="171" t="n">
        <x:v>228.5</x:v>
      </x:c>
      <x:c r="J28" s="171" t="n">
        <x:v>294.6</x:v>
      </x:c>
      <x:c r="K28" s="171" t="n">
        <x:v>344.6</x:v>
      </x:c>
      <x:c r="L28" s="171" t="n">
        <x:v>420.6</x:v>
      </x:c>
      <x:c r="M28" s="172" t="n">
        <x:v>526.7</x:v>
      </x:c>
    </x:row>
    <x:row r="29" ht="15" hidden="0" customHeight="1">
      <x:c r="A29" s="147" t="str">
        <x:v>CAPITAL_INTERIOR</x:v>
      </x:c>
      <x:c r="B29" s="148" t="str">
        <x:v>9001 a 10000</x:v>
      </x:c>
      <x:c r="C29" s="148" t="n">
        <x:v>9001</x:v>
      </x:c>
      <x:c r="D29" s="148" t="n">
        <x:v>10000</x:v>
      </x:c>
      <x:c r="E29" s="111" t="str">
        <x:v>FAIXA</x:v>
      </x:c>
      <x:c r="F29" s="171" t="n">
        <x:v>53.8</x:v>
      </x:c>
      <x:c r="G29" s="171" t="n">
        <x:v>67.8</x:v>
      </x:c>
      <x:c r="H29" s="171" t="n">
        <x:v>194.9</x:v>
      </x:c>
      <x:c r="I29" s="171" t="n">
        <x:v>241.3</x:v>
      </x:c>
      <x:c r="J29" s="171" t="n">
        <x:v>312.5</x:v>
      </x:c>
      <x:c r="K29" s="171" t="n">
        <x:v>366.3</x:v>
      </x:c>
      <x:c r="L29" s="171" t="n">
        <x:v>448.2</x:v>
      </x:c>
      <x:c r="M29" s="172" t="n">
        <x:v>561.1</x:v>
      </x:c>
    </x:row>
    <x:row r="30" ht="15" hidden="0" customHeight="1">
      <x:c r="A30" s="149" t="str">
        <x:v>CAPITAL_INTERIOR</x:v>
      </x:c>
      <x:c r="B30" s="150" t="str">
        <x:v>Kg Adicional</x:v>
      </x:c>
      <x:c r="C30" s="150"/>
      <x:c r="D30" s="150"/>
      <x:c r="E30" s="112" t="str">
        <x:v>KG_ADICIONAL</x:v>
      </x:c>
      <x:c r="F30" s="173" t="n">
        <x:v>7.1</x:v>
      </x:c>
      <x:c r="G30" s="173" t="n">
        <x:v>8.8</x:v>
      </x:c>
      <x:c r="H30" s="173" t="n">
        <x:v>24.7</x:v>
      </x:c>
      <x:c r="I30" s="173" t="n">
        <x:v>30.4</x:v>
      </x:c>
      <x:c r="J30" s="173" t="n">
        <x:v>39.1</x:v>
      </x:c>
      <x:c r="K30" s="173" t="n">
        <x:v>45.7</x:v>
      </x:c>
      <x:c r="L30" s="173" t="n">
        <x:v>56</x:v>
      </x:c>
      <x:c r="M30" s="174" t="n">
        <x:v>70</x:v>
      </x:c>
    </x:row>
  </x:sheetData>
  <x:mergeCells>
    <x:mergeCell ref="A1:M1"/>
    <x:mergeCell ref="A2:M2"/>
  </x:mergeCells>
  <x:conditionalFormatting sqref="D7:D100">
    <x:cfRule type="expression" dxfId="5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b533498a2241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19.200000762939453" hidden="0" customHeight="1">
      <x:c r="A1" s="5" t="str">
        <x:v>PAC APP CORREIOS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15" hidden="0" customHeight="1">
      <x:c r="A2" s="12" t="str">
        <x:v>Tabela promocional APP Correios com grupos E, N e 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0339-5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Tarifas_Enc_APP_2026.xlsx - aba PAC_APP-PROMOCIONAL</x:v>
      </x:c>
    </x:row>
    <x:row r="5"/>
    <x:row r="6" ht="15" hidden="0" customHeight="1">
      <x:c r="A6" s="24" t="str">
        <x:v>FAIXA_PESO</x:v>
      </x:c>
      <x:c r="B6" s="99" t="str">
        <x:v>PESO_MIN_G</x:v>
      </x:c>
      <x:c r="C6" s="99" t="str">
        <x:v>PESO_MAX_G</x:v>
      </x:c>
      <x:c r="D6" s="99" t="str">
        <x:v>TIPO_FAIXA</x:v>
      </x:c>
      <x:c r="E6" s="99" t="str">
        <x:v>E1</x:v>
      </x:c>
      <x:c r="F6" s="99" t="str">
        <x:v>E2</x:v>
      </x:c>
      <x:c r="G6" s="99" t="str">
        <x:v>E3</x:v>
      </x:c>
      <x:c r="H6" s="99" t="str">
        <x:v>E4</x:v>
      </x:c>
      <x:c r="I6" s="99" t="str">
        <x:v>N1</x:v>
      </x:c>
      <x:c r="J6" s="99" t="str">
        <x:v>N2</x:v>
      </x:c>
      <x:c r="K6" s="99" t="str">
        <x:v>N3</x:v>
      </x:c>
      <x:c r="L6" s="99" t="str">
        <x:v>N4</x:v>
      </x:c>
      <x:c r="M6" s="99" t="str">
        <x:v>I1</x:v>
      </x:c>
      <x:c r="N6" s="99" t="str">
        <x:v>I2</x:v>
      </x:c>
      <x:c r="O6" s="99" t="str">
        <x:v>I3</x:v>
      </x:c>
      <x:c r="P6" s="25" t="str">
        <x:v>I4</x:v>
      </x:c>
    </x:row>
    <x:row r="7" ht="15" hidden="0" customHeight="1">
      <x:c r="A7" s="145" t="str">
        <x:v>0 a   300</x:v>
      </x:c>
      <x:c r="B7" s="146" t="n">
        <x:v>0</x:v>
      </x:c>
      <x:c r="C7" s="146" t="n">
        <x:v>300</x:v>
      </x:c>
      <x:c r="D7" s="146" t="str">
        <x:v>FAIXA</x:v>
      </x:c>
      <x:c r="E7" s="169" t="n">
        <x:v>16.22</x:v>
      </x:c>
      <x:c r="F7" s="169" t="n">
        <x:v>16.92</x:v>
      </x:c>
      <x:c r="G7" s="169" t="n">
        <x:v>17.08</x:v>
      </x:c>
      <x:c r="H7" s="169" t="n">
        <x:v>17.26</x:v>
      </x:c>
      <x:c r="I7" s="169" t="n">
        <x:v>19.32</x:v>
      </x:c>
      <x:c r="J7" s="169" t="n">
        <x:v>21.65</x:v>
      </x:c>
      <x:c r="K7" s="169" t="n">
        <x:v>24.15</x:v>
      </x:c>
      <x:c r="L7" s="169" t="n">
        <x:v>28.97</x:v>
      </x:c>
      <x:c r="M7" s="169" t="n">
        <x:v>23.11</x:v>
      </x:c>
      <x:c r="N7" s="169" t="n">
        <x:v>27.96</x:v>
      </x:c>
      <x:c r="O7" s="169" t="n">
        <x:v>46.99</x:v>
      </x:c>
      <x:c r="P7" s="170" t="n">
        <x:v>64.5</x:v>
      </x:c>
    </x:row>
    <x:row r="8" ht="15" hidden="0" customHeight="1">
      <x:c r="A8" s="147" t="str">
        <x:v>301 a   500</x:v>
      </x:c>
      <x:c r="B8" s="148" t="n">
        <x:v>301</x:v>
      </x:c>
      <x:c r="C8" s="148" t="n">
        <x:v>500</x:v>
      </x:c>
      <x:c r="D8" s="148" t="str">
        <x:v>FAIXA</x:v>
      </x:c>
      <x:c r="E8" s="171" t="n">
        <x:v>18.03</x:v>
      </x:c>
      <x:c r="F8" s="171" t="n">
        <x:v>18.8</x:v>
      </x:c>
      <x:c r="G8" s="171" t="n">
        <x:v>18.98</x:v>
      </x:c>
      <x:c r="H8" s="171" t="n">
        <x:v>19.18</x:v>
      </x:c>
      <x:c r="I8" s="171" t="n">
        <x:v>21.46</x:v>
      </x:c>
      <x:c r="J8" s="171" t="n">
        <x:v>24.06</x:v>
      </x:c>
      <x:c r="K8" s="171" t="n">
        <x:v>26.84</x:v>
      </x:c>
      <x:c r="L8" s="171" t="n">
        <x:v>32.19</x:v>
      </x:c>
      <x:c r="M8" s="171" t="n">
        <x:v>25.68</x:v>
      </x:c>
      <x:c r="N8" s="171" t="n">
        <x:v>31.07</x:v>
      </x:c>
      <x:c r="O8" s="171" t="n">
        <x:v>52.21</x:v>
      </x:c>
      <x:c r="P8" s="172" t="n">
        <x:v>71.66</x:v>
      </x:c>
    </x:row>
    <x:row r="9" ht="15" hidden="0" customHeight="1">
      <x:c r="A9" s="147" t="str">
        <x:v>501 a   1000</x:v>
      </x:c>
      <x:c r="B9" s="148" t="n">
        <x:v>501</x:v>
      </x:c>
      <x:c r="C9" s="148" t="n">
        <x:v>1000</x:v>
      </x:c>
      <x:c r="D9" s="148" t="str">
        <x:v>FAIXA</x:v>
      </x:c>
      <x:c r="E9" s="171" t="n">
        <x:v>19.31</x:v>
      </x:c>
      <x:c r="F9" s="171" t="n">
        <x:v>20.13</x:v>
      </x:c>
      <x:c r="G9" s="171" t="n">
        <x:v>20.34</x:v>
      </x:c>
      <x:c r="H9" s="171" t="n">
        <x:v>20.55</x:v>
      </x:c>
      <x:c r="I9" s="171" t="n">
        <x:v>23</x:v>
      </x:c>
      <x:c r="J9" s="171" t="n">
        <x:v>25.77</x:v>
      </x:c>
      <x:c r="K9" s="171" t="n">
        <x:v>28.76</x:v>
      </x:c>
      <x:c r="L9" s="171" t="n">
        <x:v>34.49</x:v>
      </x:c>
      <x:c r="M9" s="171" t="n">
        <x:v>27.24</x:v>
      </x:c>
      <x:c r="N9" s="171" t="n">
        <x:v>32.8</x:v>
      </x:c>
      <x:c r="O9" s="171" t="n">
        <x:v>54.12</x:v>
      </x:c>
      <x:c r="P9" s="172" t="n">
        <x:v>73.95</x:v>
      </x:c>
    </x:row>
    <x:row r="10" ht="15" hidden="0" customHeight="1">
      <x:c r="A10" s="147" t="str">
        <x:v>1001 a   2000</x:v>
      </x:c>
      <x:c r="B10" s="148" t="n">
        <x:v>1001</x:v>
      </x:c>
      <x:c r="C10" s="148" t="n">
        <x:v>2000</x:v>
      </x:c>
      <x:c r="D10" s="148" t="str">
        <x:v>FAIXA</x:v>
      </x:c>
      <x:c r="E10" s="171" t="n">
        <x:v>20.35</x:v>
      </x:c>
      <x:c r="F10" s="171" t="n">
        <x:v>21.23</x:v>
      </x:c>
      <x:c r="G10" s="171" t="n">
        <x:v>21.42</x:v>
      </x:c>
      <x:c r="H10" s="171" t="n">
        <x:v>21.64</x:v>
      </x:c>
      <x:c r="I10" s="171" t="n">
        <x:v>25.27</x:v>
      </x:c>
      <x:c r="J10" s="171" t="n">
        <x:v>28.3</x:v>
      </x:c>
      <x:c r="K10" s="171" t="n">
        <x:v>31.59</x:v>
      </x:c>
      <x:c r="L10" s="171" t="n">
        <x:v>37.91</x:v>
      </x:c>
      <x:c r="M10" s="171" t="n">
        <x:v>32.31</x:v>
      </x:c>
      <x:c r="N10" s="171" t="n">
        <x:v>38.17</x:v>
      </x:c>
      <x:c r="O10" s="171" t="n">
        <x:v>59.77</x:v>
      </x:c>
      <x:c r="P10" s="172" t="n">
        <x:v>80.2</x:v>
      </x:c>
    </x:row>
    <x:row r="11" ht="15" hidden="0" customHeight="1">
      <x:c r="A11" s="147" t="str">
        <x:v>2001 a   3000</x:v>
      </x:c>
      <x:c r="B11" s="148" t="n">
        <x:v>2001</x:v>
      </x:c>
      <x:c r="C11" s="148" t="n">
        <x:v>3000</x:v>
      </x:c>
      <x:c r="D11" s="148" t="str">
        <x:v>FAIXA</x:v>
      </x:c>
      <x:c r="E11" s="171" t="n">
        <x:v>24.33</x:v>
      </x:c>
      <x:c r="F11" s="171" t="n">
        <x:v>25.36</x:v>
      </x:c>
      <x:c r="G11" s="171" t="n">
        <x:v>25.62</x:v>
      </x:c>
      <x:c r="H11" s="171" t="n">
        <x:v>25.88</x:v>
      </x:c>
      <x:c r="I11" s="171" t="n">
        <x:v>30.21</x:v>
      </x:c>
      <x:c r="J11" s="171" t="n">
        <x:v>33.83</x:v>
      </x:c>
      <x:c r="K11" s="171" t="n">
        <x:v>37.76</x:v>
      </x:c>
      <x:c r="L11" s="171" t="n">
        <x:v>45.3</x:v>
      </x:c>
      <x:c r="M11" s="171" t="n">
        <x:v>37.24</x:v>
      </x:c>
      <x:c r="N11" s="171" t="n">
        <x:v>43.7</x:v>
      </x:c>
      <x:c r="O11" s="171" t="n">
        <x:v>65.93</x:v>
      </x:c>
      <x:c r="P11" s="172" t="n">
        <x:v>87.59</x:v>
      </x:c>
    </x:row>
    <x:row r="12" ht="15" hidden="0" customHeight="1">
      <x:c r="A12" s="147" t="str">
        <x:v>3001 a   4000</x:v>
      </x:c>
      <x:c r="B12" s="148" t="n">
        <x:v>3001</x:v>
      </x:c>
      <x:c r="C12" s="148" t="n">
        <x:v>4000</x:v>
      </x:c>
      <x:c r="D12" s="148" t="str">
        <x:v>FAIXA</x:v>
      </x:c>
      <x:c r="E12" s="171" t="n">
        <x:v>25.96</x:v>
      </x:c>
      <x:c r="F12" s="171" t="n">
        <x:v>27.07</x:v>
      </x:c>
      <x:c r="G12" s="171" t="n">
        <x:v>27.33</x:v>
      </x:c>
      <x:c r="H12" s="171" t="n">
        <x:v>27.63</x:v>
      </x:c>
      <x:c r="I12" s="171" t="n">
        <x:v>32.27</x:v>
      </x:c>
      <x:c r="J12" s="171" t="n">
        <x:v>36.14</x:v>
      </x:c>
      <x:c r="K12" s="171" t="n">
        <x:v>40.33</x:v>
      </x:c>
      <x:c r="L12" s="171" t="n">
        <x:v>48.38</x:v>
      </x:c>
      <x:c r="M12" s="171" t="n">
        <x:v>47.75</x:v>
      </x:c>
      <x:c r="N12" s="171" t="n">
        <x:v>54.45</x:v>
      </x:c>
      <x:c r="O12" s="171" t="n">
        <x:v>76.95</x:v>
      </x:c>
      <x:c r="P12" s="172" t="n">
        <x:v>99.11</x:v>
      </x:c>
    </x:row>
    <x:row r="13" ht="15" hidden="0" customHeight="1">
      <x:c r="A13" s="147" t="str">
        <x:v>4001 a   5000</x:v>
      </x:c>
      <x:c r="B13" s="148" t="n">
        <x:v>4001</x:v>
      </x:c>
      <x:c r="C13" s="148" t="n">
        <x:v>5000</x:v>
      </x:c>
      <x:c r="D13" s="148" t="str">
        <x:v>FAIXA</x:v>
      </x:c>
      <x:c r="E13" s="171" t="n">
        <x:v>27.77</x:v>
      </x:c>
      <x:c r="F13" s="171" t="n">
        <x:v>28.94</x:v>
      </x:c>
      <x:c r="G13" s="171" t="n">
        <x:v>29.23</x:v>
      </x:c>
      <x:c r="H13" s="171" t="n">
        <x:v>29.53</x:v>
      </x:c>
      <x:c r="I13" s="171" t="n">
        <x:v>34.48</x:v>
      </x:c>
      <x:c r="J13" s="171" t="n">
        <x:v>38.63</x:v>
      </x:c>
      <x:c r="K13" s="171" t="n">
        <x:v>43.12</x:v>
      </x:c>
      <x:c r="L13" s="171" t="n">
        <x:v>51.75</x:v>
      </x:c>
      <x:c r="M13" s="171" t="n">
        <x:v>50</x:v>
      </x:c>
      <x:c r="N13" s="171" t="n">
        <x:v>56.97</x:v>
      </x:c>
      <x:c r="O13" s="171" t="n">
        <x:v>79.77</x:v>
      </x:c>
      <x:c r="P13" s="172" t="n">
        <x:v>102.48</x:v>
      </x:c>
    </x:row>
    <x:row r="14" ht="15" hidden="0" customHeight="1">
      <x:c r="A14" s="147" t="str">
        <x:v>5001 a   6000</x:v>
      </x:c>
      <x:c r="B14" s="148" t="n">
        <x:v>5001</x:v>
      </x:c>
      <x:c r="C14" s="148" t="n">
        <x:v>6000</x:v>
      </x:c>
      <x:c r="D14" s="148" t="str">
        <x:v>FAIXA</x:v>
      </x:c>
      <x:c r="E14" s="171" t="n">
        <x:v>29.28</x:v>
      </x:c>
      <x:c r="F14" s="171" t="n">
        <x:v>30.51</x:v>
      </x:c>
      <x:c r="G14" s="171" t="n">
        <x:v>30.83</x:v>
      </x:c>
      <x:c r="H14" s="171" t="n">
        <x:v>31.16</x:v>
      </x:c>
      <x:c r="I14" s="171" t="n">
        <x:v>38.2</x:v>
      </x:c>
      <x:c r="J14" s="171" t="n">
        <x:v>43.93</x:v>
      </x:c>
      <x:c r="K14" s="171" t="n">
        <x:v>50.14</x:v>
      </x:c>
      <x:c r="L14" s="171" t="n">
        <x:v>62.07</x:v>
      </x:c>
      <x:c r="M14" s="171" t="n">
        <x:v>57.94</x:v>
      </x:c>
      <x:c r="N14" s="171" t="n">
        <x:v>66.5</x:v>
      </x:c>
      <x:c r="O14" s="171" t="n">
        <x:v>91</x:v>
      </x:c>
      <x:c r="P14" s="172" t="n">
        <x:v>117.03</x:v>
      </x:c>
    </x:row>
    <x:row r="15" ht="15" hidden="0" customHeight="1">
      <x:c r="A15" s="147" t="str">
        <x:v>6001 a   7000</x:v>
      </x:c>
      <x:c r="B15" s="148" t="n">
        <x:v>6001</x:v>
      </x:c>
      <x:c r="C15" s="148" t="n">
        <x:v>7000</x:v>
      </x:c>
      <x:c r="D15" s="148" t="str">
        <x:v>FAIXA</x:v>
      </x:c>
      <x:c r="E15" s="171" t="n">
        <x:v>30.94</x:v>
      </x:c>
      <x:c r="F15" s="171" t="n">
        <x:v>32.25</x:v>
      </x:c>
      <x:c r="G15" s="171" t="n">
        <x:v>32.58</x:v>
      </x:c>
      <x:c r="H15" s="171" t="n">
        <x:v>32.91</x:v>
      </x:c>
      <x:c r="I15" s="171" t="n">
        <x:v>42.18</x:v>
      </x:c>
      <x:c r="J15" s="171" t="n">
        <x:v>48.53</x:v>
      </x:c>
      <x:c r="K15" s="171" t="n">
        <x:v>55.37</x:v>
      </x:c>
      <x:c r="L15" s="171" t="n">
        <x:v>68.54</x:v>
      </x:c>
      <x:c r="M15" s="171" t="n">
        <x:v>61.91</x:v>
      </x:c>
      <x:c r="N15" s="171" t="n">
        <x:v>71.05</x:v>
      </x:c>
      <x:c r="O15" s="171" t="n">
        <x:v>96.22</x:v>
      </x:c>
      <x:c r="P15" s="172" t="n">
        <x:v>123.5</x:v>
      </x:c>
    </x:row>
    <x:row r="16" ht="15" hidden="0" customHeight="1">
      <x:c r="A16" s="147" t="str">
        <x:v>7001 a   8000</x:v>
      </x:c>
      <x:c r="B16" s="148" t="n">
        <x:v>7001</x:v>
      </x:c>
      <x:c r="C16" s="148" t="n">
        <x:v>8000</x:v>
      </x:c>
      <x:c r="D16" s="148" t="str">
        <x:v>FAIXA</x:v>
      </x:c>
      <x:c r="E16" s="171" t="n">
        <x:v>32.51</x:v>
      </x:c>
      <x:c r="F16" s="171" t="n">
        <x:v>33.88</x:v>
      </x:c>
      <x:c r="G16" s="171" t="n">
        <x:v>34.23</x:v>
      </x:c>
      <x:c r="H16" s="171" t="n">
        <x:v>34.59</x:v>
      </x:c>
      <x:c r="I16" s="171" t="n">
        <x:v>45.95</x:v>
      </x:c>
      <x:c r="J16" s="171" t="n">
        <x:v>52.86</x:v>
      </x:c>
      <x:c r="K16" s="171" t="n">
        <x:v>60.31</x:v>
      </x:c>
      <x:c r="L16" s="171" t="n">
        <x:v>74.69</x:v>
      </x:c>
      <x:c r="M16" s="171" t="n">
        <x:v>79.78</x:v>
      </x:c>
      <x:c r="N16" s="171" t="n">
        <x:v>89.5</x:v>
      </x:c>
      <x:c r="O16" s="171" t="n">
        <x:v>115.28</x:v>
      </x:c>
      <x:c r="P16" s="172" t="n">
        <x:v>143.73</x:v>
      </x:c>
    </x:row>
    <x:row r="17" ht="15" hidden="0" customHeight="1">
      <x:c r="A17" s="147" t="str">
        <x:v>8001 a 9000</x:v>
      </x:c>
      <x:c r="B17" s="148" t="n">
        <x:v>8001</x:v>
      </x:c>
      <x:c r="C17" s="148" t="n">
        <x:v>9000</x:v>
      </x:c>
      <x:c r="D17" s="148" t="str">
        <x:v>FAIXA</x:v>
      </x:c>
      <x:c r="E17" s="171" t="n">
        <x:v>33.45</x:v>
      </x:c>
      <x:c r="F17" s="171" t="n">
        <x:v>34.88</x:v>
      </x:c>
      <x:c r="G17" s="171" t="n">
        <x:v>35.22</x:v>
      </x:c>
      <x:c r="H17" s="171" t="n">
        <x:v>35.58</x:v>
      </x:c>
      <x:c r="I17" s="171" t="n">
        <x:v>48.22</x:v>
      </x:c>
      <x:c r="J17" s="171" t="n">
        <x:v>55.44</x:v>
      </x:c>
      <x:c r="K17" s="171" t="n">
        <x:v>63.26</x:v>
      </x:c>
      <x:c r="L17" s="171" t="n">
        <x:v>78.32</x:v>
      </x:c>
      <x:c r="M17" s="171" t="n">
        <x:v>82.04</x:v>
      </x:c>
      <x:c r="N17" s="171" t="n">
        <x:v>92.07</x:v>
      </x:c>
      <x:c r="O17" s="171" t="n">
        <x:v>118.25</x:v>
      </x:c>
      <x:c r="P17" s="172" t="n">
        <x:v>147.4</x:v>
      </x:c>
    </x:row>
    <x:row r="18" ht="15" hidden="0" customHeight="1">
      <x:c r="A18" s="147" t="str">
        <x:v>9001 A 10000</x:v>
      </x:c>
      <x:c r="B18" s="148" t="n">
        <x:v>9001</x:v>
      </x:c>
      <x:c r="C18" s="148" t="n">
        <x:v>10000</x:v>
      </x:c>
      <x:c r="D18" s="148" t="str">
        <x:v>FAIXA</x:v>
      </x:c>
      <x:c r="E18" s="171" t="n">
        <x:v>34.14</x:v>
      </x:c>
      <x:c r="F18" s="171" t="n">
        <x:v>35.58</x:v>
      </x:c>
      <x:c r="G18" s="171" t="n">
        <x:v>35.93</x:v>
      </x:c>
      <x:c r="H18" s="171" t="n">
        <x:v>36.3</x:v>
      </x:c>
      <x:c r="I18" s="171" t="n">
        <x:v>49.82</x:v>
      </x:c>
      <x:c r="J18" s="171" t="n">
        <x:v>57.31</x:v>
      </x:c>
      <x:c r="K18" s="171" t="n">
        <x:v>65.39</x:v>
      </x:c>
      <x:c r="L18" s="171" t="n">
        <x:v>80.98</x:v>
      </x:c>
      <x:c r="M18" s="171" t="n">
        <x:v>83.65</x:v>
      </x:c>
      <x:c r="N18" s="171" t="n">
        <x:v>93.94</x:v>
      </x:c>
      <x:c r="O18" s="171" t="n">
        <x:v>120.36</x:v>
      </x:c>
      <x:c r="P18" s="172" t="n">
        <x:v>150.01</x:v>
      </x:c>
    </x:row>
    <x:row r="19" ht="15" hidden="0" customHeight="1">
      <x:c r="A19" s="149" t="str">
        <x:v>Kg Adicional (A)</x:v>
      </x:c>
      <x:c r="B19" s="150"/>
      <x:c r="C19" s="150"/>
      <x:c r="D19" s="150" t="str">
        <x:v>KG_ADICIONAL</x:v>
      </x:c>
      <x:c r="E19" s="173" t="n">
        <x:v>4.24</x:v>
      </x:c>
      <x:c r="F19" s="173" t="n">
        <x:v>4.41</x:v>
      </x:c>
      <x:c r="G19" s="173" t="n">
        <x:v>4.45</x:v>
      </x:c>
      <x:c r="H19" s="173" t="n">
        <x:v>4.52</x:v>
      </x:c>
      <x:c r="I19" s="173" t="n">
        <x:v>6.17</x:v>
      </x:c>
      <x:c r="J19" s="173" t="n">
        <x:v>7.1</x:v>
      </x:c>
      <x:c r="K19" s="173" t="n">
        <x:v>8.12</x:v>
      </x:c>
      <x:c r="L19" s="173" t="n">
        <x:v>10.04</x:v>
      </x:c>
      <x:c r="M19" s="173" t="n">
        <x:v>10.35</x:v>
      </x:c>
      <x:c r="N19" s="173" t="n">
        <x:v>11.66</x:v>
      </x:c>
      <x:c r="O19" s="173" t="n">
        <x:v>14.91</x:v>
      </x:c>
      <x:c r="P19" s="174" t="n">
        <x:v>18.6</x:v>
      </x:c>
    </x:row>
  </x:sheetData>
  <x:mergeCells>
    <x:mergeCell ref="A1:P1"/>
    <x:mergeCell ref="A2:P2"/>
  </x:mergeCells>
  <x:conditionalFormatting sqref="D7:D100">
    <x:cfRule type="expression" dxfId="6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1a718969cd48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19.200000762939453" hidden="0" customHeight="1">
      <x:c r="A1" s="5" t="str">
        <x:v>SEDEX APP CORREIOS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5" hidden="0" customHeight="1">
      <x:c r="A2" s="12" t="str">
        <x:v>Tabela promocional APP Correios com grupos L, E, N e 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4195-5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Tarifas_Enc_APP_2026.xlsx - aba SEDEX_APP-PROMOCIONAL</x:v>
      </x:c>
    </x:row>
    <x:row r="5"/>
    <x:row r="6" ht="15" hidden="0" customHeight="1">
      <x:c r="A6" s="24" t="str">
        <x:v>FAIXA_PESO</x:v>
      </x:c>
      <x:c r="B6" s="99" t="str">
        <x:v>PESO_MIN_G</x:v>
      </x:c>
      <x:c r="C6" s="99" t="str">
        <x:v>PESO_MAX_G</x:v>
      </x:c>
      <x:c r="D6" s="99" t="str">
        <x:v>TIPO_FAIXA</x:v>
      </x:c>
      <x:c r="E6" s="99" t="str">
        <x:v>L1</x:v>
      </x:c>
      <x:c r="F6" s="99" t="str">
        <x:v>L2</x:v>
      </x:c>
      <x:c r="G6" s="99" t="str">
        <x:v>L3</x:v>
      </x:c>
      <x:c r="H6" s="99" t="str">
        <x:v>L4</x:v>
      </x:c>
      <x:c r="I6" s="99" t="str">
        <x:v>E1</x:v>
      </x:c>
      <x:c r="J6" s="99" t="str">
        <x:v>E2</x:v>
      </x:c>
      <x:c r="K6" s="99" t="str">
        <x:v>E3</x:v>
      </x:c>
      <x:c r="L6" s="99" t="str">
        <x:v>E4</x:v>
      </x:c>
      <x:c r="M6" s="99" t="str">
        <x:v>N1</x:v>
      </x:c>
      <x:c r="N6" s="99" t="str">
        <x:v>N2</x:v>
      </x:c>
      <x:c r="O6" s="99" t="str">
        <x:v>N3</x:v>
      </x:c>
      <x:c r="P6" s="99" t="str">
        <x:v>N4</x:v>
      </x:c>
      <x:c r="Q6" s="99" t="str">
        <x:v>I1</x:v>
      </x:c>
      <x:c r="R6" s="99" t="str">
        <x:v>I2</x:v>
      </x:c>
      <x:c r="S6" s="99" t="str">
        <x:v>I3</x:v>
      </x:c>
      <x:c r="T6" s="25" t="str">
        <x:v>I4</x:v>
      </x:c>
    </x:row>
    <x:row r="7" ht="15" hidden="0" customHeight="1">
      <x:c r="A7" s="145" t="str">
        <x:v>0 a 300</x:v>
      </x:c>
      <x:c r="B7" s="146" t="n">
        <x:v>0</x:v>
      </x:c>
      <x:c r="C7" s="146" t="n">
        <x:v>300</x:v>
      </x:c>
      <x:c r="D7" s="146" t="str">
        <x:v>FAIXA</x:v>
      </x:c>
      <x:c r="E7" s="169" t="n">
        <x:v>10.44</x:v>
      </x:c>
      <x:c r="F7" s="169" t="n">
        <x:v>10.67</x:v>
      </x:c>
      <x:c r="G7" s="169" t="n">
        <x:v>10.88</x:v>
      </x:c>
      <x:c r="H7" s="169" t="n">
        <x:v>11.1</x:v>
      </x:c>
      <x:c r="I7" s="169" t="n">
        <x:v>19.95</x:v>
      </x:c>
      <x:c r="J7" s="169" t="n">
        <x:v>20.38</x:v>
      </x:c>
      <x:c r="K7" s="169" t="n">
        <x:v>20.83</x:v>
      </x:c>
      <x:c r="L7" s="169" t="n">
        <x:v>22.17</x:v>
      </x:c>
      <x:c r="M7" s="169" t="n">
        <x:v>30.29</x:v>
      </x:c>
      <x:c r="N7" s="169" t="n">
        <x:v>42.41</x:v>
      </x:c>
      <x:c r="O7" s="169" t="n">
        <x:v>54.53</x:v>
      </x:c>
      <x:c r="P7" s="169" t="n">
        <x:v>63.62</x:v>
      </x:c>
      <x:c r="Q7" s="169" t="n">
        <x:v>48.02</x:v>
      </x:c>
      <x:c r="R7" s="169" t="n">
        <x:v>61.31</x:v>
      </x:c>
      <x:c r="S7" s="169" t="n">
        <x:v>74.01</x:v>
      </x:c>
      <x:c r="T7" s="170" t="n">
        <x:v>84.89</x:v>
      </x:c>
    </x:row>
    <x:row r="8" ht="15" hidden="0" customHeight="1">
      <x:c r="A8" s="147" t="str">
        <x:v>301 a 500</x:v>
      </x:c>
      <x:c r="B8" s="148" t="n">
        <x:v>301</x:v>
      </x:c>
      <x:c r="C8" s="148" t="n">
        <x:v>500</x:v>
      </x:c>
      <x:c r="D8" s="148" t="str">
        <x:v>FAIXA</x:v>
      </x:c>
      <x:c r="E8" s="171" t="n">
        <x:v>11.71</x:v>
      </x:c>
      <x:c r="F8" s="171" t="n">
        <x:v>11.96</x:v>
      </x:c>
      <x:c r="G8" s="171" t="n">
        <x:v>12.21</x:v>
      </x:c>
      <x:c r="H8" s="171" t="n">
        <x:v>12.44</x:v>
      </x:c>
      <x:c r="I8" s="171" t="n">
        <x:v>20.67</x:v>
      </x:c>
      <x:c r="J8" s="171" t="n">
        <x:v>21.13</x:v>
      </x:c>
      <x:c r="K8" s="171" t="n">
        <x:v>21.6</x:v>
      </x:c>
      <x:c r="L8" s="171" t="n">
        <x:v>22.96</x:v>
      </x:c>
      <x:c r="M8" s="171" t="n">
        <x:v>31.56</x:v>
      </x:c>
      <x:c r="N8" s="171" t="n">
        <x:v>44.18</x:v>
      </x:c>
      <x:c r="O8" s="171" t="n">
        <x:v>56.79</x:v>
      </x:c>
      <x:c r="P8" s="171" t="n">
        <x:v>66.26</x:v>
      </x:c>
      <x:c r="Q8" s="171" t="n">
        <x:v>49.27</x:v>
      </x:c>
      <x:c r="R8" s="171" t="n">
        <x:v>63.07</x:v>
      </x:c>
      <x:c r="S8" s="171" t="n">
        <x:v>76.29</x:v>
      </x:c>
      <x:c r="T8" s="172" t="n">
        <x:v>87.54</x:v>
      </x:c>
    </x:row>
    <x:row r="9" ht="15" hidden="0" customHeight="1">
      <x:c r="A9" s="147" t="str">
        <x:v>501 a   1.000</x:v>
      </x:c>
      <x:c r="B9" s="148" t="n">
        <x:v>501</x:v>
      </x:c>
      <x:c r="C9" s="148" t="n">
        <x:v>1000</x:v>
      </x:c>
      <x:c r="D9" s="148" t="str">
        <x:v>FAIXA</x:v>
      </x:c>
      <x:c r="E9" s="171" t="n">
        <x:v>12.54</x:v>
      </x:c>
      <x:c r="F9" s="171" t="n">
        <x:v>12.79</x:v>
      </x:c>
      <x:c r="G9" s="171" t="n">
        <x:v>13.07</x:v>
      </x:c>
      <x:c r="H9" s="171" t="n">
        <x:v>13.35</x:v>
      </x:c>
      <x:c r="I9" s="171" t="n">
        <x:v>23.06</x:v>
      </x:c>
      <x:c r="J9" s="171" t="n">
        <x:v>23.29</x:v>
      </x:c>
      <x:c r="K9" s="171" t="n">
        <x:v>23.52</x:v>
      </x:c>
      <x:c r="L9" s="171" t="n">
        <x:v>23.77</x:v>
      </x:c>
      <x:c r="M9" s="171" t="n">
        <x:v>32.83</x:v>
      </x:c>
      <x:c r="N9" s="171" t="n">
        <x:v>45.96</x:v>
      </x:c>
      <x:c r="O9" s="171" t="n">
        <x:v>59.1</x:v>
      </x:c>
      <x:c r="P9" s="171" t="n">
        <x:v>68.96</x:v>
      </x:c>
      <x:c r="Q9" s="171" t="n">
        <x:v>50.56</x:v>
      </x:c>
      <x:c r="R9" s="171" t="n">
        <x:v>64.87</x:v>
      </x:c>
      <x:c r="S9" s="171" t="n">
        <x:v>78.59</x:v>
      </x:c>
      <x:c r="T9" s="172" t="n">
        <x:v>90.2</x:v>
      </x:c>
    </x:row>
    <x:row r="10" ht="15" hidden="0" customHeight="1">
      <x:c r="A10" s="147" t="str">
        <x:v>1.001 a   2.000</x:v>
      </x:c>
      <x:c r="B10" s="148" t="n">
        <x:v>1001</x:v>
      </x:c>
      <x:c r="C10" s="148" t="n">
        <x:v>2000</x:v>
      </x:c>
      <x:c r="D10" s="148" t="str">
        <x:v>FAIXA</x:v>
      </x:c>
      <x:c r="E10" s="171" t="n">
        <x:v>15.73</x:v>
      </x:c>
      <x:c r="F10" s="171" t="n">
        <x:v>16.08</x:v>
      </x:c>
      <x:c r="G10" s="171" t="n">
        <x:v>16.42</x:v>
      </x:c>
      <x:c r="H10" s="171" t="n">
        <x:v>16.74</x:v>
      </x:c>
      <x:c r="I10" s="171" t="n">
        <x:v>25.43</x:v>
      </x:c>
      <x:c r="J10" s="171" t="n">
        <x:v>25.68</x:v>
      </x:c>
      <x:c r="K10" s="171" t="n">
        <x:v>25.96</x:v>
      </x:c>
      <x:c r="L10" s="171" t="n">
        <x:v>26.21</x:v>
      </x:c>
      <x:c r="M10" s="171" t="n">
        <x:v>39.57</x:v>
      </x:c>
      <x:c r="N10" s="171" t="n">
        <x:v>55.44</x:v>
      </x:c>
      <x:c r="O10" s="171" t="n">
        <x:v>71.27</x:v>
      </x:c>
      <x:c r="P10" s="171" t="n">
        <x:v>83.13</x:v>
      </x:c>
      <x:c r="Q10" s="171" t="n">
        <x:v>63.21</x:v>
      </x:c>
      <x:c r="R10" s="171" t="n">
        <x:v>80.24</x:v>
      </x:c>
      <x:c r="S10" s="171" t="n">
        <x:v>96.65</x:v>
      </x:c>
      <x:c r="T10" s="172" t="n">
        <x:v>110.3</x:v>
      </x:c>
    </x:row>
    <x:row r="11" ht="15" hidden="0" customHeight="1">
      <x:c r="A11" s="147" t="str">
        <x:v>2.001 a   3.000</x:v>
      </x:c>
      <x:c r="B11" s="148" t="n">
        <x:v>2001</x:v>
      </x:c>
      <x:c r="C11" s="148" t="n">
        <x:v>3000</x:v>
      </x:c>
      <x:c r="D11" s="148" t="str">
        <x:v>FAIXA</x:v>
      </x:c>
      <x:c r="E11" s="171" t="n">
        <x:v>17.56</x:v>
      </x:c>
      <x:c r="F11" s="171" t="n">
        <x:v>17.93</x:v>
      </x:c>
      <x:c r="G11" s="171" t="n">
        <x:v>18.3</x:v>
      </x:c>
      <x:c r="H11" s="171" t="n">
        <x:v>18.67</x:v>
      </x:c>
      <x:c r="I11" s="171" t="n">
        <x:v>27.78</x:v>
      </x:c>
      <x:c r="J11" s="171" t="n">
        <x:v>28.06</x:v>
      </x:c>
      <x:c r="K11" s="171" t="n">
        <x:v>28.36</x:v>
      </x:c>
      <x:c r="L11" s="171" t="n">
        <x:v>28.64</x:v>
      </x:c>
      <x:c r="M11" s="171" t="n">
        <x:v>46.21</x:v>
      </x:c>
      <x:c r="N11" s="171" t="n">
        <x:v>62.39</x:v>
      </x:c>
      <x:c r="O11" s="171" t="n">
        <x:v>87.81</x:v>
      </x:c>
      <x:c r="P11" s="171" t="n">
        <x:v>106.28</x:v>
      </x:c>
      <x:c r="Q11" s="171" t="n">
        <x:v>75.75</x:v>
      </x:c>
      <x:c r="R11" s="171" t="n">
        <x:v>93.1</x:v>
      </x:c>
      <x:c r="S11" s="171" t="n">
        <x:v>119.1</x:v>
      </x:c>
      <x:c r="T11" s="172" t="n">
        <x:v>139.37</x:v>
      </x:c>
    </x:row>
    <x:row r="12" ht="15" hidden="0" customHeight="1">
      <x:c r="A12" s="147" t="str">
        <x:v>3.001 a   4.000</x:v>
      </x:c>
      <x:c r="B12" s="148" t="n">
        <x:v>3001</x:v>
      </x:c>
      <x:c r="C12" s="148" t="n">
        <x:v>4000</x:v>
      </x:c>
      <x:c r="D12" s="148" t="str">
        <x:v>FAIXA</x:v>
      </x:c>
      <x:c r="E12" s="171" t="n">
        <x:v>18.97</x:v>
      </x:c>
      <x:c r="F12" s="171" t="n">
        <x:v>19.37</x:v>
      </x:c>
      <x:c r="G12" s="171" t="n">
        <x:v>19.78</x:v>
      </x:c>
      <x:c r="H12" s="171" t="n">
        <x:v>20.17</x:v>
      </x:c>
      <x:c r="I12" s="171" t="n">
        <x:v>30.61</x:v>
      </x:c>
      <x:c r="J12" s="171" t="n">
        <x:v>30.89</x:v>
      </x:c>
      <x:c r="K12" s="171" t="n">
        <x:v>31.22</x:v>
      </x:c>
      <x:c r="L12" s="171" t="n">
        <x:v>31.54</x:v>
      </x:c>
      <x:c r="M12" s="171" t="n">
        <x:v>52.97</x:v>
      </x:c>
      <x:c r="N12" s="171" t="n">
        <x:v>71.54</x:v>
      </x:c>
      <x:c r="O12" s="171" t="n">
        <x:v>100.66</x:v>
      </x:c>
      <x:c r="P12" s="171" t="n">
        <x:v>121.86</x:v>
      </x:c>
      <x:c r="Q12" s="171" t="n">
        <x:v>82.51</x:v>
      </x:c>
      <x:c r="R12" s="171" t="n">
        <x:v>102.24</x:v>
      </x:c>
      <x:c r="S12" s="171" t="n">
        <x:v>131.99</x:v>
      </x:c>
      <x:c r="T12" s="172" t="n">
        <x:v>154.95</x:v>
      </x:c>
    </x:row>
    <x:row r="13" ht="15" hidden="0" customHeight="1">
      <x:c r="A13" s="147" t="str">
        <x:v>4.001 a   5.000</x:v>
      </x:c>
      <x:c r="B13" s="148" t="n">
        <x:v>4001</x:v>
      </x:c>
      <x:c r="C13" s="148" t="n">
        <x:v>5000</x:v>
      </x:c>
      <x:c r="D13" s="148" t="str">
        <x:v>FAIXA</x:v>
      </x:c>
      <x:c r="E13" s="171" t="n">
        <x:v>20.5</x:v>
      </x:c>
      <x:c r="F13" s="171" t="n">
        <x:v>20.95</x:v>
      </x:c>
      <x:c r="G13" s="171" t="n">
        <x:v>21.36</x:v>
      </x:c>
      <x:c r="H13" s="171" t="n">
        <x:v>21.8</x:v>
      </x:c>
      <x:c r="I13" s="171" t="n">
        <x:v>32.97</x:v>
      </x:c>
      <x:c r="J13" s="171" t="n">
        <x:v>33.31</x:v>
      </x:c>
      <x:c r="K13" s="171" t="n">
        <x:v>33.66</x:v>
      </x:c>
      <x:c r="L13" s="171" t="n">
        <x:v>33.99</x:v>
      </x:c>
      <x:c r="M13" s="171" t="n">
        <x:v>58.47</x:v>
      </x:c>
      <x:c r="N13" s="171" t="n">
        <x:v>78.94</x:v>
      </x:c>
      <x:c r="O13" s="171" t="n">
        <x:v>111.11</x:v>
      </x:c>
      <x:c r="P13" s="171" t="n">
        <x:v>134.48</x:v>
      </x:c>
      <x:c r="Q13" s="171" t="n">
        <x:v>99.81</x:v>
      </x:c>
      <x:c r="R13" s="171" t="n">
        <x:v>121.44</x:v>
      </x:c>
      <x:c r="S13" s="171" t="n">
        <x:v>154.2</x:v>
      </x:c>
      <x:c r="T13" s="172" t="n">
        <x:v>179.37</x:v>
      </x:c>
    </x:row>
    <x:row r="14" ht="15" hidden="0" customHeight="1">
      <x:c r="A14" s="147" t="str">
        <x:v>5.001 a   6.000</x:v>
      </x:c>
      <x:c r="B14" s="148" t="n">
        <x:v>5001</x:v>
      </x:c>
      <x:c r="C14" s="148" t="n">
        <x:v>6000</x:v>
      </x:c>
      <x:c r="D14" s="148" t="str">
        <x:v>FAIXA</x:v>
      </x:c>
      <x:c r="E14" s="171" t="n">
        <x:v>21.78</x:v>
      </x:c>
      <x:c r="F14" s="171" t="n">
        <x:v>22.24</x:v>
      </x:c>
      <x:c r="G14" s="171" t="n">
        <x:v>22.71</x:v>
      </x:c>
      <x:c r="H14" s="171" t="n">
        <x:v>23.18</x:v>
      </x:c>
      <x:c r="I14" s="171" t="n">
        <x:v>35.61</x:v>
      </x:c>
      <x:c r="J14" s="171" t="n">
        <x:v>35.99</x:v>
      </x:c>
      <x:c r="K14" s="171" t="n">
        <x:v>36.35</x:v>
      </x:c>
      <x:c r="L14" s="171" t="n">
        <x:v>36.72</x:v>
      </x:c>
      <x:c r="M14" s="171" t="n">
        <x:v>64.11</x:v>
      </x:c>
      <x:c r="N14" s="171" t="n">
        <x:v>86.54</x:v>
      </x:c>
      <x:c r="O14" s="171" t="n">
        <x:v>121.81</x:v>
      </x:c>
      <x:c r="P14" s="171" t="n">
        <x:v>147.44</x:v>
      </x:c>
      <x:c r="Q14" s="171" t="n">
        <x:v>105.44</x:v>
      </x:c>
      <x:c r="R14" s="171" t="n">
        <x:v>129.07</x:v>
      </x:c>
      <x:c r="S14" s="171" t="n">
        <x:v>164.9</x:v>
      </x:c>
      <x:c r="T14" s="172" t="n">
        <x:v>192.34</x:v>
      </x:c>
    </x:row>
    <x:row r="15" ht="15" hidden="0" customHeight="1">
      <x:c r="A15" s="147" t="str">
        <x:v>6.001 a   7.000</x:v>
      </x:c>
      <x:c r="B15" s="148" t="n">
        <x:v>6001</x:v>
      </x:c>
      <x:c r="C15" s="148" t="n">
        <x:v>7000</x:v>
      </x:c>
      <x:c r="D15" s="148" t="str">
        <x:v>FAIXA</x:v>
      </x:c>
      <x:c r="E15" s="171" t="n">
        <x:v>23.15</x:v>
      </x:c>
      <x:c r="F15" s="171" t="n">
        <x:v>23.65</x:v>
      </x:c>
      <x:c r="G15" s="171" t="n">
        <x:v>24.14</x:v>
      </x:c>
      <x:c r="H15" s="171" t="n">
        <x:v>24.63</x:v>
      </x:c>
      <x:c r="I15" s="171" t="n">
        <x:v>38.15</x:v>
      </x:c>
      <x:c r="J15" s="171" t="n">
        <x:v>38.52</x:v>
      </x:c>
      <x:c r="K15" s="171" t="n">
        <x:v>38.93</x:v>
      </x:c>
      <x:c r="L15" s="171" t="n">
        <x:v>39.32</x:v>
      </x:c>
      <x:c r="M15" s="171" t="n">
        <x:v>70.74</x:v>
      </x:c>
      <x:c r="N15" s="171" t="n">
        <x:v>95.5</x:v>
      </x:c>
      <x:c r="O15" s="171" t="n">
        <x:v>134.39</x:v>
      </x:c>
      <x:c r="P15" s="171" t="n">
        <x:v>162.71</x:v>
      </x:c>
      <x:c r="Q15" s="171" t="n">
        <x:v>112.1</x:v>
      </x:c>
      <x:c r="R15" s="171" t="n">
        <x:v>138.02</x:v>
      </x:c>
      <x:c r="S15" s="171" t="n">
        <x:v>177.49</x:v>
      </x:c>
      <x:c r="T15" s="172" t="n">
        <x:v>207.59</x:v>
      </x:c>
    </x:row>
    <x:row r="16" ht="15" hidden="0" customHeight="1">
      <x:c r="A16" s="147" t="str">
        <x:v>7.001 a   8.000</x:v>
      </x:c>
      <x:c r="B16" s="148" t="n">
        <x:v>7001</x:v>
      </x:c>
      <x:c r="C16" s="148" t="n">
        <x:v>8000</x:v>
      </x:c>
      <x:c r="D16" s="148" t="str">
        <x:v>FAIXA</x:v>
      </x:c>
      <x:c r="E16" s="171" t="n">
        <x:v>24.48</x:v>
      </x:c>
      <x:c r="F16" s="171" t="n">
        <x:v>24.99</x:v>
      </x:c>
      <x:c r="G16" s="171" t="n">
        <x:v>25.52</x:v>
      </x:c>
      <x:c r="H16" s="171" t="n">
        <x:v>26.03</x:v>
      </x:c>
      <x:c r="I16" s="171" t="n">
        <x:v>40.78</x:v>
      </x:c>
      <x:c r="J16" s="171" t="n">
        <x:v>41.23</x:v>
      </x:c>
      <x:c r="K16" s="171" t="n">
        <x:v>41.62</x:v>
      </x:c>
      <x:c r="L16" s="171" t="n">
        <x:v>42.06</x:v>
      </x:c>
      <x:c r="M16" s="171" t="n">
        <x:v>77.48</x:v>
      </x:c>
      <x:c r="N16" s="171" t="n">
        <x:v>104.61</x:v>
      </x:c>
      <x:c r="O16" s="171" t="n">
        <x:v>147.25</x:v>
      </x:c>
      <x:c r="P16" s="171" t="n">
        <x:v>178.25</x:v>
      </x:c>
      <x:c r="Q16" s="171" t="n">
        <x:v>124.73</x:v>
      </x:c>
      <x:c r="R16" s="171" t="n">
        <x:v>153.04</x:v>
      </x:c>
      <x:c r="S16" s="171" t="n">
        <x:v>196.28</x:v>
      </x:c>
      <x:c r="T16" s="172" t="n">
        <x:v>229.05</x:v>
      </x:c>
    </x:row>
    <x:row r="17" ht="15" hidden="0" customHeight="1">
      <x:c r="A17" s="147" t="str">
        <x:v>8.001 a 9.000</x:v>
      </x:c>
      <x:c r="B17" s="148" t="n">
        <x:v>8001</x:v>
      </x:c>
      <x:c r="C17" s="148" t="n">
        <x:v>9000</x:v>
      </x:c>
      <x:c r="D17" s="148" t="str">
        <x:v>FAIXA</x:v>
      </x:c>
      <x:c r="E17" s="171" t="n">
        <x:v>25.27</x:v>
      </x:c>
      <x:c r="F17" s="171" t="n">
        <x:v>25.82</x:v>
      </x:c>
      <x:c r="G17" s="171" t="n">
        <x:v>26.36</x:v>
      </x:c>
      <x:c r="H17" s="171" t="n">
        <x:v>26.88</x:v>
      </x:c>
      <x:c r="I17" s="171" t="n">
        <x:v>43.45</x:v>
      </x:c>
      <x:c r="J17" s="171" t="n">
        <x:v>43.89</x:v>
      </x:c>
      <x:c r="K17" s="171" t="n">
        <x:v>44.36</x:v>
      </x:c>
      <x:c r="L17" s="171" t="n">
        <x:v>44.78</x:v>
      </x:c>
      <x:c r="M17" s="171" t="n">
        <x:v>84.25</x:v>
      </x:c>
      <x:c r="N17" s="171" t="n">
        <x:v>113.74</x:v>
      </x:c>
      <x:c r="O17" s="171" t="n">
        <x:v>160.08</x:v>
      </x:c>
      <x:c r="P17" s="171" t="n">
        <x:v>193.78</x:v>
      </x:c>
      <x:c r="Q17" s="171" t="n">
        <x:v>131.49</x:v>
      </x:c>
      <x:c r="R17" s="171" t="n">
        <x:v>162.18</x:v>
      </x:c>
      <x:c r="S17" s="171" t="n">
        <x:v>209.12</x:v>
      </x:c>
      <x:c r="T17" s="172" t="n">
        <x:v>244.58</x:v>
      </x:c>
    </x:row>
    <x:row r="18" ht="15" hidden="0" customHeight="1">
      <x:c r="A18" s="147" t="str">
        <x:v>9.001 A 10.000</x:v>
      </x:c>
      <x:c r="B18" s="148" t="n">
        <x:v>9001</x:v>
      </x:c>
      <x:c r="C18" s="148" t="n">
        <x:v>10000</x:v>
      </x:c>
      <x:c r="D18" s="148" t="str">
        <x:v>FAIXA</x:v>
      </x:c>
      <x:c r="E18" s="171" t="n">
        <x:v>25.84</x:v>
      </x:c>
      <x:c r="F18" s="171" t="n">
        <x:v>26.39</x:v>
      </x:c>
      <x:c r="G18" s="171" t="n">
        <x:v>26.93</x:v>
      </x:c>
      <x:c r="H18" s="171" t="n">
        <x:v>27.48</x:v>
      </x:c>
      <x:c r="I18" s="171" t="n">
        <x:v>46.39</x:v>
      </x:c>
      <x:c r="J18" s="171" t="n">
        <x:v>46.86</x:v>
      </x:c>
      <x:c r="K18" s="171" t="n">
        <x:v>47.34</x:v>
      </x:c>
      <x:c r="L18" s="171" t="n">
        <x:v>47.82</x:v>
      </x:c>
      <x:c r="M18" s="171" t="n">
        <x:v>91.02</x:v>
      </x:c>
      <x:c r="N18" s="171" t="n">
        <x:v>122.88</x:v>
      </x:c>
      <x:c r="O18" s="171" t="n">
        <x:v>172.95</x:v>
      </x:c>
      <x:c r="P18" s="171" t="n">
        <x:v>209.35</x:v>
      </x:c>
      <x:c r="Q18" s="171" t="n">
        <x:v>138.27</x:v>
      </x:c>
      <x:c r="R18" s="171" t="n">
        <x:v>171.29</x:v>
      </x:c>
      <x:c r="S18" s="171" t="n">
        <x:v>221.96</x:v>
      </x:c>
      <x:c r="T18" s="172" t="n">
        <x:v>260.12</x:v>
      </x:c>
    </x:row>
    <x:row r="19" ht="15" hidden="0" customHeight="1">
      <x:c r="A19" s="149" t="str">
        <x:v>Kg Adicional</x:v>
      </x:c>
      <x:c r="B19" s="150"/>
      <x:c r="C19" s="150"/>
      <x:c r="D19" s="150" t="str">
        <x:v>KG_ADICIONAL</x:v>
      </x:c>
      <x:c r="E19" s="173" t="n">
        <x:v>3.19</x:v>
      </x:c>
      <x:c r="F19" s="173" t="n">
        <x:v>3.28</x:v>
      </x:c>
      <x:c r="G19" s="173" t="n">
        <x:v>3.35</x:v>
      </x:c>
      <x:c r="H19" s="173" t="n">
        <x:v>3.4</x:v>
      </x:c>
      <x:c r="I19" s="173" t="n">
        <x:v>5.75</x:v>
      </x:c>
      <x:c r="J19" s="173" t="n">
        <x:v>5.82</x:v>
      </x:c>
      <x:c r="K19" s="173" t="n">
        <x:v>5.87</x:v>
      </x:c>
      <x:c r="L19" s="173" t="n">
        <x:v>5.93</x:v>
      </x:c>
      <x:c r="M19" s="173" t="n">
        <x:v>11.29</x:v>
      </x:c>
      <x:c r="N19" s="173" t="n">
        <x:v>15.24</x:v>
      </x:c>
      <x:c r="O19" s="173" t="n">
        <x:v>21.45</x:v>
      </x:c>
      <x:c r="P19" s="173" t="n">
        <x:v>25.96</x:v>
      </x:c>
      <x:c r="Q19" s="173" t="n">
        <x:v>17.15</x:v>
      </x:c>
      <x:c r="R19" s="173" t="n">
        <x:v>21.24</x:v>
      </x:c>
      <x:c r="S19" s="173" t="n">
        <x:v>27.52</x:v>
      </x:c>
      <x:c r="T19" s="174" t="n">
        <x:v>32.25</x:v>
      </x:c>
    </x:row>
  </x:sheetData>
  <x:mergeCells>
    <x:mergeCell ref="A1:T1"/>
    <x:mergeCell ref="A2:T2"/>
  </x:mergeCells>
  <x:conditionalFormatting sqref="D7:D100">
    <x:cfRule type="expression" dxfId="7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d95200a9534a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19.200000762939453" hidden="0" customHeight="1">
      <x:c r="A1" s="5" t="str">
        <x:v>PAC CONTRATO PLATINUM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5" hidden="0" customHeight="1">
      <x:c r="A2" s="12" t="str">
        <x:v>Tabela contratual Platinum com grupos E, N, P e 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0329-8 / 0466-9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Tarifas_Encomendas_Platinum_Clube_2026.xlsx - aba PAC</x:v>
      </x:c>
    </x:row>
    <x:row r="5"/>
    <x:row r="6" ht="15" hidden="0" customHeight="1">
      <x:c r="A6" s="24" t="str">
        <x:v>FAIXA_PESO</x:v>
      </x:c>
      <x:c r="B6" s="99" t="str">
        <x:v>PESO_MIN_G</x:v>
      </x:c>
      <x:c r="C6" s="99" t="str">
        <x:v>PESO_MAX_G</x:v>
      </x:c>
      <x:c r="D6" s="99" t="str">
        <x:v>TIPO_FAIXA</x:v>
      </x:c>
      <x:c r="E6" s="99" t="str">
        <x:v>E1</x:v>
      </x:c>
      <x:c r="F6" s="99" t="str">
        <x:v>E2</x:v>
      </x:c>
      <x:c r="G6" s="99" t="str">
        <x:v>E3</x:v>
      </x:c>
      <x:c r="H6" s="99" t="str">
        <x:v>E4</x:v>
      </x:c>
      <x:c r="I6" s="99" t="str">
        <x:v>N1</x:v>
      </x:c>
      <x:c r="J6" s="99" t="str">
        <x:v>N2</x:v>
      </x:c>
      <x:c r="K6" s="99" t="str">
        <x:v>N3</x:v>
      </x:c>
      <x:c r="L6" s="99" t="str">
        <x:v>N4</x:v>
      </x:c>
      <x:c r="M6" s="99" t="str">
        <x:v>P1</x:v>
      </x:c>
      <x:c r="N6" s="99" t="str">
        <x:v>P2</x:v>
      </x:c>
      <x:c r="O6" s="99" t="str">
        <x:v>P3</x:v>
      </x:c>
      <x:c r="P6" s="99" t="str">
        <x:v>P4</x:v>
      </x:c>
      <x:c r="Q6" s="99" t="str">
        <x:v>I1</x:v>
      </x:c>
      <x:c r="R6" s="99" t="str">
        <x:v>I2</x:v>
      </x:c>
      <x:c r="S6" s="99" t="str">
        <x:v>I3</x:v>
      </x:c>
      <x:c r="T6" s="25" t="str">
        <x:v>I4</x:v>
      </x:c>
    </x:row>
    <x:row r="7" ht="15" hidden="0" customHeight="1">
      <x:c r="A7" s="145" t="str">
        <x:v>0 a 300</x:v>
      </x:c>
      <x:c r="B7" s="146" t="n">
        <x:v>0</x:v>
      </x:c>
      <x:c r="C7" s="146" t="n">
        <x:v>300</x:v>
      </x:c>
      <x:c r="D7" s="146" t="str">
        <x:v>FAIXA</x:v>
      </x:c>
      <x:c r="E7" s="169" t="n">
        <x:v>15.45</x:v>
      </x:c>
      <x:c r="F7" s="169" t="n">
        <x:v>16.11</x:v>
      </x:c>
      <x:c r="G7" s="169" t="n">
        <x:v>16.27</x:v>
      </x:c>
      <x:c r="H7" s="169" t="n">
        <x:v>16.44</x:v>
      </x:c>
      <x:c r="I7" s="169" t="n">
        <x:v>18.4</x:v>
      </x:c>
      <x:c r="J7" s="169" t="n">
        <x:v>20.62</x:v>
      </x:c>
      <x:c r="K7" s="169" t="n">
        <x:v>23</x:v>
      </x:c>
      <x:c r="L7" s="169" t="n">
        <x:v>27.59</x:v>
      </x:c>
      <x:c r="M7" s="169" t="n">
        <x:v>18.95</x:v>
      </x:c>
      <x:c r="N7" s="169" t="n">
        <x:v>22.92</x:v>
      </x:c>
      <x:c r="O7" s="169" t="n">
        <x:v>38.49</x:v>
      </x:c>
      <x:c r="P7" s="169" t="n">
        <x:v>52.82</x:v>
      </x:c>
      <x:c r="Q7" s="169" t="n">
        <x:v>22.01</x:v>
      </x:c>
      <x:c r="R7" s="169" t="n">
        <x:v>26.63</x:v>
      </x:c>
      <x:c r="S7" s="169" t="n">
        <x:v>44.75</x:v>
      </x:c>
      <x:c r="T7" s="170" t="n">
        <x:v>61.43</x:v>
      </x:c>
    </x:row>
    <x:row r="8" ht="15" hidden="0" customHeight="1">
      <x:c r="A8" s="147" t="str">
        <x:v>301 a 500</x:v>
      </x:c>
      <x:c r="B8" s="148" t="n">
        <x:v>301</x:v>
      </x:c>
      <x:c r="C8" s="148" t="n">
        <x:v>500</x:v>
      </x:c>
      <x:c r="D8" s="148" t="str">
        <x:v>FAIXA</x:v>
      </x:c>
      <x:c r="E8" s="171" t="n">
        <x:v>17.17</x:v>
      </x:c>
      <x:c r="F8" s="171" t="n">
        <x:v>17.9</x:v>
      </x:c>
      <x:c r="G8" s="171" t="n">
        <x:v>18.08</x:v>
      </x:c>
      <x:c r="H8" s="171" t="n">
        <x:v>18.27</x:v>
      </x:c>
      <x:c r="I8" s="171" t="n">
        <x:v>20.44</x:v>
      </x:c>
      <x:c r="J8" s="171" t="n">
        <x:v>22.91</x:v>
      </x:c>
      <x:c r="K8" s="171" t="n">
        <x:v>25.56</x:v>
      </x:c>
      <x:c r="L8" s="171" t="n">
        <x:v>30.66</x:v>
      </x:c>
      <x:c r="M8" s="171" t="n">
        <x:v>21.05</x:v>
      </x:c>
      <x:c r="N8" s="171" t="n">
        <x:v>25.47</x:v>
      </x:c>
      <x:c r="O8" s="171" t="n">
        <x:v>42.77</x:v>
      </x:c>
      <x:c r="P8" s="171" t="n">
        <x:v>58.69</x:v>
      </x:c>
      <x:c r="Q8" s="171" t="n">
        <x:v>24.46</x:v>
      </x:c>
      <x:c r="R8" s="171" t="n">
        <x:v>29.59</x:v>
      </x:c>
      <x:c r="S8" s="171" t="n">
        <x:v>49.72</x:v>
      </x:c>
      <x:c r="T8" s="172" t="n">
        <x:v>68.25</x:v>
      </x:c>
    </x:row>
    <x:row r="9" ht="15" hidden="0" customHeight="1">
      <x:c r="A9" s="147" t="str">
        <x:v>501 a 1.000</x:v>
      </x:c>
      <x:c r="B9" s="148" t="n">
        <x:v>501</x:v>
      </x:c>
      <x:c r="C9" s="148" t="n">
        <x:v>1000</x:v>
      </x:c>
      <x:c r="D9" s="148" t="str">
        <x:v>FAIXA</x:v>
      </x:c>
      <x:c r="E9" s="171" t="n">
        <x:v>18.39</x:v>
      </x:c>
      <x:c r="F9" s="171" t="n">
        <x:v>19.17</x:v>
      </x:c>
      <x:c r="G9" s="171" t="n">
        <x:v>19.37</x:v>
      </x:c>
      <x:c r="H9" s="171" t="n">
        <x:v>19.57</x:v>
      </x:c>
      <x:c r="I9" s="171" t="n">
        <x:v>21.9</x:v>
      </x:c>
      <x:c r="J9" s="171" t="n">
        <x:v>24.54</x:v>
      </x:c>
      <x:c r="K9" s="171" t="n">
        <x:v>27.39</x:v>
      </x:c>
      <x:c r="L9" s="171" t="n">
        <x:v>32.85</x:v>
      </x:c>
      <x:c r="M9" s="171" t="n">
        <x:v>22.3</x:v>
      </x:c>
      <x:c r="N9" s="171" t="n">
        <x:v>26.87</x:v>
      </x:c>
      <x:c r="O9" s="171" t="n">
        <x:v>44.32</x:v>
      </x:c>
      <x:c r="P9" s="171" t="n">
        <x:v>60.59</x:v>
      </x:c>
      <x:c r="Q9" s="171" t="n">
        <x:v>25.94</x:v>
      </x:c>
      <x:c r="R9" s="171" t="n">
        <x:v>31.24</x:v>
      </x:c>
      <x:c r="S9" s="171" t="n">
        <x:v>51.54</x:v>
      </x:c>
      <x:c r="T9" s="172" t="n">
        <x:v>70.43</x:v>
      </x:c>
    </x:row>
    <x:row r="10" ht="15" hidden="0" customHeight="1">
      <x:c r="A10" s="147" t="str">
        <x:v>1.001 a 2.000</x:v>
      </x:c>
      <x:c r="B10" s="148" t="n">
        <x:v>1001</x:v>
      </x:c>
      <x:c r="C10" s="148" t="n">
        <x:v>2000</x:v>
      </x:c>
      <x:c r="D10" s="148" t="str">
        <x:v>FAIXA</x:v>
      </x:c>
      <x:c r="E10" s="171" t="n">
        <x:v>19.38</x:v>
      </x:c>
      <x:c r="F10" s="171" t="n">
        <x:v>20.22</x:v>
      </x:c>
      <x:c r="G10" s="171" t="n">
        <x:v>20.4</x:v>
      </x:c>
      <x:c r="H10" s="171" t="n">
        <x:v>20.61</x:v>
      </x:c>
      <x:c r="I10" s="171" t="n">
        <x:v>24.07</x:v>
      </x:c>
      <x:c r="J10" s="171" t="n">
        <x:v>26.95</x:v>
      </x:c>
      <x:c r="K10" s="171" t="n">
        <x:v>30.09</x:v>
      </x:c>
      <x:c r="L10" s="171" t="n">
        <x:v>36.1</x:v>
      </x:c>
      <x:c r="M10" s="171" t="n">
        <x:v>26.47</x:v>
      </x:c>
      <x:c r="N10" s="171" t="n">
        <x:v>31.26</x:v>
      </x:c>
      <x:c r="O10" s="171" t="n">
        <x:v>48.95</x:v>
      </x:c>
      <x:c r="P10" s="171" t="n">
        <x:v>65.69</x:v>
      </x:c>
      <x:c r="Q10" s="171" t="n">
        <x:v>30.77</x:v>
      </x:c>
      <x:c r="R10" s="171" t="n">
        <x:v>36.35</x:v>
      </x:c>
      <x:c r="S10" s="171" t="n">
        <x:v>56.92</x:v>
      </x:c>
      <x:c r="T10" s="172" t="n">
        <x:v>76.38</x:v>
      </x:c>
    </x:row>
    <x:row r="11" ht="15" hidden="0" customHeight="1">
      <x:c r="A11" s="147" t="str">
        <x:v>2.001 a 3.000</x:v>
      </x:c>
      <x:c r="B11" s="148" t="n">
        <x:v>2001</x:v>
      </x:c>
      <x:c r="C11" s="148" t="n">
        <x:v>3000</x:v>
      </x:c>
      <x:c r="D11" s="148" t="str">
        <x:v>FAIXA</x:v>
      </x:c>
      <x:c r="E11" s="171" t="n">
        <x:v>23.17</x:v>
      </x:c>
      <x:c r="F11" s="171" t="n">
        <x:v>24.15</x:v>
      </x:c>
      <x:c r="G11" s="171" t="n">
        <x:v>24.4</x:v>
      </x:c>
      <x:c r="H11" s="171" t="n">
        <x:v>24.65</x:v>
      </x:c>
      <x:c r="I11" s="171" t="n">
        <x:v>28.77</x:v>
      </x:c>
      <x:c r="J11" s="171" t="n">
        <x:v>32.22</x:v>
      </x:c>
      <x:c r="K11" s="171" t="n">
        <x:v>35.96</x:v>
      </x:c>
      <x:c r="L11" s="171" t="n">
        <x:v>43.14</x:v>
      </x:c>
      <x:c r="M11" s="171" t="n">
        <x:v>30.5</x:v>
      </x:c>
      <x:c r="N11" s="171" t="n">
        <x:v>35.78</x:v>
      </x:c>
      <x:c r="O11" s="171" t="n">
        <x:v>54</x:v>
      </x:c>
      <x:c r="P11" s="171" t="n">
        <x:v>71.74</x:v>
      </x:c>
      <x:c r="Q11" s="171" t="n">
        <x:v>35.47</x:v>
      </x:c>
      <x:c r="R11" s="171" t="n">
        <x:v>41.62</x:v>
      </x:c>
      <x:c r="S11" s="171" t="n">
        <x:v>62.79</x:v>
      </x:c>
      <x:c r="T11" s="172" t="n">
        <x:v>83.42</x:v>
      </x:c>
    </x:row>
    <x:row r="12" ht="15" hidden="0" customHeight="1">
      <x:c r="A12" s="147" t="str">
        <x:v>3.001 a 4.000</x:v>
      </x:c>
      <x:c r="B12" s="148" t="n">
        <x:v>3001</x:v>
      </x:c>
      <x:c r="C12" s="148" t="n">
        <x:v>4000</x:v>
      </x:c>
      <x:c r="D12" s="148" t="str">
        <x:v>FAIXA</x:v>
      </x:c>
      <x:c r="E12" s="171" t="n">
        <x:v>24.72</x:v>
      </x:c>
      <x:c r="F12" s="171" t="n">
        <x:v>25.78</x:v>
      </x:c>
      <x:c r="G12" s="171" t="n">
        <x:v>26.03</x:v>
      </x:c>
      <x:c r="H12" s="171" t="n">
        <x:v>26.31</x:v>
      </x:c>
      <x:c r="I12" s="171" t="n">
        <x:v>30.73</x:v>
      </x:c>
      <x:c r="J12" s="171" t="n">
        <x:v>34.42</x:v>
      </x:c>
      <x:c r="K12" s="171" t="n">
        <x:v>38.41</x:v>
      </x:c>
      <x:c r="L12" s="171" t="n">
        <x:v>46.08</x:v>
      </x:c>
      <x:c r="M12" s="171" t="n">
        <x:v>39.11</x:v>
      </x:c>
      <x:c r="N12" s="171" t="n">
        <x:v>44.59</x:v>
      </x:c>
      <x:c r="O12" s="171" t="n">
        <x:v>63.03</x:v>
      </x:c>
      <x:c r="P12" s="171" t="n">
        <x:v>81.18</x:v>
      </x:c>
      <x:c r="Q12" s="171" t="n">
        <x:v>45.48</x:v>
      </x:c>
      <x:c r="R12" s="171" t="n">
        <x:v>51.86</x:v>
      </x:c>
      <x:c r="S12" s="171" t="n">
        <x:v>73.29</x:v>
      </x:c>
      <x:c r="T12" s="172" t="n">
        <x:v>94.39</x:v>
      </x:c>
    </x:row>
    <x:row r="13" ht="15" hidden="0" customHeight="1">
      <x:c r="A13" s="147" t="str">
        <x:v>4.001 a 5.000</x:v>
      </x:c>
      <x:c r="B13" s="148" t="n">
        <x:v>4001</x:v>
      </x:c>
      <x:c r="C13" s="148" t="n">
        <x:v>5000</x:v>
      </x:c>
      <x:c r="D13" s="148" t="str">
        <x:v>FAIXA</x:v>
      </x:c>
      <x:c r="E13" s="171" t="n">
        <x:v>26.45</x:v>
      </x:c>
      <x:c r="F13" s="171" t="n">
        <x:v>27.56</x:v>
      </x:c>
      <x:c r="G13" s="171" t="n">
        <x:v>27.84</x:v>
      </x:c>
      <x:c r="H13" s="171" t="n">
        <x:v>28.12</x:v>
      </x:c>
      <x:c r="I13" s="171" t="n">
        <x:v>32.84</x:v>
      </x:c>
      <x:c r="J13" s="171" t="n">
        <x:v>36.79</x:v>
      </x:c>
      <x:c r="K13" s="171" t="n">
        <x:v>41.07</x:v>
      </x:c>
      <x:c r="L13" s="171" t="n">
        <x:v>49.29</x:v>
      </x:c>
      <x:c r="M13" s="171" t="n">
        <x:v>40.96</x:v>
      </x:c>
      <x:c r="N13" s="171" t="n">
        <x:v>46.66</x:v>
      </x:c>
      <x:c r="O13" s="171" t="n">
        <x:v>65.33</x:v>
      </x:c>
      <x:c r="P13" s="171" t="n">
        <x:v>83.93</x:v>
      </x:c>
      <x:c r="Q13" s="171" t="n">
        <x:v>47.62</x:v>
      </x:c>
      <x:c r="R13" s="171" t="n">
        <x:v>54.26</x:v>
      </x:c>
      <x:c r="S13" s="171" t="n">
        <x:v>75.97</x:v>
      </x:c>
      <x:c r="T13" s="172" t="n">
        <x:v>97.6</x:v>
      </x:c>
    </x:row>
    <x:row r="14" ht="15" hidden="0" customHeight="1">
      <x:c r="A14" s="147" t="str">
        <x:v>5.001 a 6.000</x:v>
      </x:c>
      <x:c r="B14" s="148" t="n">
        <x:v>5001</x:v>
      </x:c>
      <x:c r="C14" s="148" t="n">
        <x:v>6000</x:v>
      </x:c>
      <x:c r="D14" s="148" t="str">
        <x:v>FAIXA</x:v>
      </x:c>
      <x:c r="E14" s="171" t="n">
        <x:v>27.89</x:v>
      </x:c>
      <x:c r="F14" s="171" t="n">
        <x:v>29.06</x:v>
      </x:c>
      <x:c r="G14" s="171" t="n">
        <x:v>29.36</x:v>
      </x:c>
      <x:c r="H14" s="171" t="n">
        <x:v>29.68</x:v>
      </x:c>
      <x:c r="I14" s="171" t="n">
        <x:v>36.38</x:v>
      </x:c>
      <x:c r="J14" s="171" t="n">
        <x:v>41.84</x:v>
      </x:c>
      <x:c r="K14" s="171" t="n">
        <x:v>47.75</x:v>
      </x:c>
      <x:c r="L14" s="171" t="n">
        <x:v>59.11</x:v>
      </x:c>
      <x:c r="M14" s="171" t="n">
        <x:v>47.45</x:v>
      </x:c>
      <x:c r="N14" s="171" t="n">
        <x:v>54.46</x:v>
      </x:c>
      <x:c r="O14" s="171" t="n">
        <x:v>74.55</x:v>
      </x:c>
      <x:c r="P14" s="171" t="n">
        <x:v>95.87</x:v>
      </x:c>
      <x:c r="Q14" s="171" t="n">
        <x:v>55.18</x:v>
      </x:c>
      <x:c r="R14" s="171" t="n">
        <x:v>63.33</x:v>
      </x:c>
      <x:c r="S14" s="171" t="n">
        <x:v>86.67</x:v>
      </x:c>
      <x:c r="T14" s="172" t="n">
        <x:v>111.46</x:v>
      </x:c>
    </x:row>
    <x:row r="15" ht="15" hidden="0" customHeight="1">
      <x:c r="A15" s="147" t="str">
        <x:v>6.001 a 7.000</x:v>
      </x:c>
      <x:c r="B15" s="148" t="n">
        <x:v>6001</x:v>
      </x:c>
      <x:c r="C15" s="148" t="n">
        <x:v>7000</x:v>
      </x:c>
      <x:c r="D15" s="148" t="str">
        <x:v>FAIXA</x:v>
      </x:c>
      <x:c r="E15" s="171" t="n">
        <x:v>29.47</x:v>
      </x:c>
      <x:c r="F15" s="171" t="n">
        <x:v>30.71</x:v>
      </x:c>
      <x:c r="G15" s="171" t="n">
        <x:v>31.03</x:v>
      </x:c>
      <x:c r="H15" s="171" t="n">
        <x:v>31.34</x:v>
      </x:c>
      <x:c r="I15" s="171" t="n">
        <x:v>40.17</x:v>
      </x:c>
      <x:c r="J15" s="171" t="n">
        <x:v>46.22</x:v>
      </x:c>
      <x:c r="K15" s="171" t="n">
        <x:v>52.73</x:v>
      </x:c>
      <x:c r="L15" s="171" t="n">
        <x:v>65.28</x:v>
      </x:c>
      <x:c r="M15" s="171" t="n">
        <x:v>50.71</x:v>
      </x:c>
      <x:c r="N15" s="171" t="n">
        <x:v>58.21</x:v>
      </x:c>
      <x:c r="O15" s="171" t="n">
        <x:v>78.81</x:v>
      </x:c>
      <x:c r="P15" s="171" t="n">
        <x:v>101.16</x:v>
      </x:c>
      <x:c r="Q15" s="171" t="n">
        <x:v>58.96</x:v>
      </x:c>
      <x:c r="R15" s="171" t="n">
        <x:v>67.67</x:v>
      </x:c>
      <x:c r="S15" s="171" t="n">
        <x:v>91.64</x:v>
      </x:c>
      <x:c r="T15" s="172" t="n">
        <x:v>117.62</x:v>
      </x:c>
    </x:row>
    <x:row r="16" ht="15" hidden="0" customHeight="1">
      <x:c r="A16" s="147" t="str">
        <x:v>7.001 a 8.000</x:v>
      </x:c>
      <x:c r="B16" s="148" t="n">
        <x:v>7001</x:v>
      </x:c>
      <x:c r="C16" s="148" t="n">
        <x:v>8000</x:v>
      </x:c>
      <x:c r="D16" s="148" t="str">
        <x:v>FAIXA</x:v>
      </x:c>
      <x:c r="E16" s="171" t="n">
        <x:v>30.96</x:v>
      </x:c>
      <x:c r="F16" s="171" t="n">
        <x:v>32.27</x:v>
      </x:c>
      <x:c r="G16" s="171" t="n">
        <x:v>32.6</x:v>
      </x:c>
      <x:c r="H16" s="171" t="n">
        <x:v>32.94</x:v>
      </x:c>
      <x:c r="I16" s="171" t="n">
        <x:v>43.76</x:v>
      </x:c>
      <x:c r="J16" s="171" t="n">
        <x:v>50.34</x:v>
      </x:c>
      <x:c r="K16" s="171" t="n">
        <x:v>57.44</x:v>
      </x:c>
      <x:c r="L16" s="171" t="n">
        <x:v>71.13</x:v>
      </x:c>
      <x:c r="M16" s="171" t="n">
        <x:v>65.33</x:v>
      </x:c>
      <x:c r="N16" s="171" t="n">
        <x:v>73.3</x:v>
      </x:c>
      <x:c r="O16" s="171" t="n">
        <x:v>94.42</x:v>
      </x:c>
      <x:c r="P16" s="171" t="n">
        <x:v>117.72</x:v>
      </x:c>
      <x:c r="Q16" s="171" t="n">
        <x:v>75.98</x:v>
      </x:c>
      <x:c r="R16" s="171" t="n">
        <x:v>85.24</x:v>
      </x:c>
      <x:c r="S16" s="171" t="n">
        <x:v>109.79</x:v>
      </x:c>
      <x:c r="T16" s="172" t="n">
        <x:v>136.89</x:v>
      </x:c>
    </x:row>
    <x:row r="17" ht="15" hidden="0" customHeight="1">
      <x:c r="A17" s="147" t="str">
        <x:v>8.001 a 9.000</x:v>
      </x:c>
      <x:c r="B17" s="148" t="n">
        <x:v>8001</x:v>
      </x:c>
      <x:c r="C17" s="148" t="n">
        <x:v>9000</x:v>
      </x:c>
      <x:c r="D17" s="148" t="str">
        <x:v>FAIXA</x:v>
      </x:c>
      <x:c r="E17" s="171" t="n">
        <x:v>31.86</x:v>
      </x:c>
      <x:c r="F17" s="171" t="n">
        <x:v>33.22</x:v>
      </x:c>
      <x:c r="G17" s="171" t="n">
        <x:v>33.54</x:v>
      </x:c>
      <x:c r="H17" s="171" t="n">
        <x:v>33.89</x:v>
      </x:c>
      <x:c r="I17" s="171" t="n">
        <x:v>45.92</x:v>
      </x:c>
      <x:c r="J17" s="171" t="n">
        <x:v>52.8</x:v>
      </x:c>
      <x:c r="K17" s="171" t="n">
        <x:v>60.25</x:v>
      </x:c>
      <x:c r="L17" s="171" t="n">
        <x:v>74.59</x:v>
      </x:c>
      <x:c r="M17" s="171" t="n">
        <x:v>67.18</x:v>
      </x:c>
      <x:c r="N17" s="171" t="n">
        <x:v>75.42</x:v>
      </x:c>
      <x:c r="O17" s="171" t="n">
        <x:v>96.85</x:v>
      </x:c>
      <x:c r="P17" s="171" t="n">
        <x:v>120.74</x:v>
      </x:c>
      <x:c r="Q17" s="171" t="n">
        <x:v>78.13</x:v>
      </x:c>
      <x:c r="R17" s="171" t="n">
        <x:v>87.69</x:v>
      </x:c>
      <x:c r="S17" s="171" t="n">
        <x:v>112.62</x:v>
      </x:c>
      <x:c r="T17" s="172" t="n">
        <x:v>140.38</x:v>
      </x:c>
    </x:row>
    <x:row r="18" ht="15" hidden="0" customHeight="1">
      <x:c r="A18" s="147" t="str">
        <x:v>9.001 a 10.000</x:v>
      </x:c>
      <x:c r="B18" s="148" t="n">
        <x:v>9001</x:v>
      </x:c>
      <x:c r="C18" s="148" t="n">
        <x:v>10000</x:v>
      </x:c>
      <x:c r="D18" s="148" t="str">
        <x:v>FAIXA</x:v>
      </x:c>
      <x:c r="E18" s="171" t="n">
        <x:v>32.51</x:v>
      </x:c>
      <x:c r="F18" s="171" t="n">
        <x:v>33.89</x:v>
      </x:c>
      <x:c r="G18" s="171" t="n">
        <x:v>34.22</x:v>
      </x:c>
      <x:c r="H18" s="171" t="n">
        <x:v>34.57</x:v>
      </x:c>
      <x:c r="I18" s="171" t="n">
        <x:v>47.45</x:v>
      </x:c>
      <x:c r="J18" s="171" t="n">
        <x:v>54.58</x:v>
      </x:c>
      <x:c r="K18" s="171" t="n">
        <x:v>62.28</x:v>
      </x:c>
      <x:c r="L18" s="171" t="n">
        <x:v>77.12</x:v>
      </x:c>
      <x:c r="M18" s="171" t="n">
        <x:v>68.51</x:v>
      </x:c>
      <x:c r="N18" s="171" t="n">
        <x:v>76.94</x:v>
      </x:c>
      <x:c r="O18" s="171" t="n">
        <x:v>98.59</x:v>
      </x:c>
      <x:c r="P18" s="171" t="n">
        <x:v>122.88</x:v>
      </x:c>
      <x:c r="Q18" s="171" t="n">
        <x:v>79.67</x:v>
      </x:c>
      <x:c r="R18" s="171" t="n">
        <x:v>89.47</x:v>
      </x:c>
      <x:c r="S18" s="171" t="n">
        <x:v>114.63</x:v>
      </x:c>
      <x:c r="T18" s="172" t="n">
        <x:v>142.87</x:v>
      </x:c>
    </x:row>
    <x:row r="19" ht="15" hidden="0" customHeight="1">
      <x:c r="A19" s="149" t="str">
        <x:v>Kg Adicional</x:v>
      </x:c>
      <x:c r="B19" s="150"/>
      <x:c r="C19" s="150"/>
      <x:c r="D19" s="150" t="str">
        <x:v>KG_ADICIONAL</x:v>
      </x:c>
      <x:c r="E19" s="173" t="n">
        <x:v>4.04</x:v>
      </x:c>
      <x:c r="F19" s="173" t="n">
        <x:v>4.2</x:v>
      </x:c>
      <x:c r="G19" s="173" t="n">
        <x:v>4.24</x:v>
      </x:c>
      <x:c r="H19" s="173" t="n">
        <x:v>4.3</x:v>
      </x:c>
      <x:c r="I19" s="173" t="n">
        <x:v>5.88</x:v>
      </x:c>
      <x:c r="J19" s="173" t="n">
        <x:v>6.76</x:v>
      </x:c>
      <x:c r="K19" s="173" t="n">
        <x:v>7.73</x:v>
      </x:c>
      <x:c r="L19" s="173" t="n">
        <x:v>9.56</x:v>
      </x:c>
      <x:c r="M19" s="173" t="n">
        <x:v>8.49</x:v>
      </x:c>
      <x:c r="N19" s="173" t="n">
        <x:v>9.55</x:v>
      </x:c>
      <x:c r="O19" s="173" t="n">
        <x:v>12.23</x:v>
      </x:c>
      <x:c r="P19" s="173" t="n">
        <x:v>15.23</x:v>
      </x:c>
      <x:c r="Q19" s="173" t="n">
        <x:v>9.86</x:v>
      </x:c>
      <x:c r="R19" s="173" t="n">
        <x:v>11.1</x:v>
      </x:c>
      <x:c r="S19" s="173" t="n">
        <x:v>14.2</x:v>
      </x:c>
      <x:c r="T19" s="174" t="n">
        <x:v>17.71</x:v>
      </x:c>
    </x:row>
  </x:sheetData>
  <x:mergeCells>
    <x:mergeCell ref="A1:T1"/>
    <x:mergeCell ref="A2:T2"/>
  </x:mergeCells>
  <x:conditionalFormatting sqref="D7:D100">
    <x:cfRule type="expression" dxfId="8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ec20c0a86941a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19.200000762939453" hidden="0" customHeight="1">
      <x:c r="A1" s="5" t="str">
        <x:v>SEDEX CONTRATO PLATINUM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15" hidden="0" customHeight="1">
      <x:c r="A2" s="12" t="str">
        <x:v>Tabela contratual Platinum com grupos L, E, N, P e 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0322-0 / 0416-2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Tarifas_Encomendas_Platinum_Clube_2026.xlsx - aba SEDEX</x:v>
      </x:c>
    </x:row>
    <x:row r="5"/>
    <x:row r="6" ht="15" hidden="0" customHeight="1">
      <x:c r="A6" s="24" t="str">
        <x:v>FAIXA_PESO</x:v>
      </x:c>
      <x:c r="B6" s="99" t="str">
        <x:v>PESO_MIN_G</x:v>
      </x:c>
      <x:c r="C6" s="99" t="str">
        <x:v>PESO_MAX_G</x:v>
      </x:c>
      <x:c r="D6" s="99" t="str">
        <x:v>TIPO_FAIXA</x:v>
      </x:c>
      <x:c r="E6" s="99" t="str">
        <x:v>L1</x:v>
      </x:c>
      <x:c r="F6" s="99" t="str">
        <x:v>L2</x:v>
      </x:c>
      <x:c r="G6" s="99" t="str">
        <x:v>L3</x:v>
      </x:c>
      <x:c r="H6" s="99" t="str">
        <x:v>L4</x:v>
      </x:c>
      <x:c r="I6" s="99" t="str">
        <x:v>E1</x:v>
      </x:c>
      <x:c r="J6" s="99" t="str">
        <x:v>E2</x:v>
      </x:c>
      <x:c r="K6" s="99" t="str">
        <x:v>E3</x:v>
      </x:c>
      <x:c r="L6" s="99" t="str">
        <x:v>E4</x:v>
      </x:c>
      <x:c r="M6" s="99" t="str">
        <x:v>N1</x:v>
      </x:c>
      <x:c r="N6" s="99" t="str">
        <x:v>N2</x:v>
      </x:c>
      <x:c r="O6" s="99" t="str">
        <x:v>N3</x:v>
      </x:c>
      <x:c r="P6" s="99" t="str">
        <x:v>N4</x:v>
      </x:c>
      <x:c r="Q6" s="99" t="str">
        <x:v>P1</x:v>
      </x:c>
      <x:c r="R6" s="99" t="str">
        <x:v>P2</x:v>
      </x:c>
      <x:c r="S6" s="99" t="str">
        <x:v>P3</x:v>
      </x:c>
      <x:c r="T6" s="99" t="str">
        <x:v>P4</x:v>
      </x:c>
      <x:c r="U6" s="99" t="str">
        <x:v>I1</x:v>
      </x:c>
      <x:c r="V6" s="99" t="str">
        <x:v>I2</x:v>
      </x:c>
      <x:c r="W6" s="99" t="str">
        <x:v>I3</x:v>
      </x:c>
      <x:c r="X6" s="25" t="str">
        <x:v>I4</x:v>
      </x:c>
    </x:row>
    <x:row r="7" ht="15" hidden="0" customHeight="1">
      <x:c r="A7" s="145" t="str">
        <x:v>0 a 300</x:v>
      </x:c>
      <x:c r="B7" s="146" t="n">
        <x:v>0</x:v>
      </x:c>
      <x:c r="C7" s="146" t="n">
        <x:v>300</x:v>
      </x:c>
      <x:c r="D7" s="146" t="str">
        <x:v>FAIXA</x:v>
      </x:c>
      <x:c r="E7" s="169" t="n">
        <x:v>9.94</x:v>
      </x:c>
      <x:c r="F7" s="169" t="n">
        <x:v>10.16</x:v>
      </x:c>
      <x:c r="G7" s="169" t="n">
        <x:v>10.36</x:v>
      </x:c>
      <x:c r="H7" s="169" t="n">
        <x:v>10.57</x:v>
      </x:c>
      <x:c r="I7" s="169" t="n">
        <x:v>19</x:v>
      </x:c>
      <x:c r="J7" s="169" t="n">
        <x:v>19.41</x:v>
      </x:c>
      <x:c r="K7" s="169" t="n">
        <x:v>19.84</x:v>
      </x:c>
      <x:c r="L7" s="169" t="n">
        <x:v>21.11</x:v>
      </x:c>
      <x:c r="M7" s="169" t="n">
        <x:v>28.85</x:v>
      </x:c>
      <x:c r="N7" s="169" t="n">
        <x:v>40.39</x:v>
      </x:c>
      <x:c r="O7" s="169" t="n">
        <x:v>51.93</x:v>
      </x:c>
      <x:c r="P7" s="169" t="n">
        <x:v>60.59</x:v>
      </x:c>
      <x:c r="Q7" s="169" t="n">
        <x:v>38.41</x:v>
      </x:c>
      <x:c r="R7" s="169" t="n">
        <x:v>49.04</x:v>
      </x:c>
      <x:c r="S7" s="169" t="n">
        <x:v>59.2</x:v>
      </x:c>
      <x:c r="T7" s="169" t="n">
        <x:v>67.9</x:v>
      </x:c>
      <x:c r="U7" s="169" t="n">
        <x:v>45.73</x:v>
      </x:c>
      <x:c r="V7" s="169" t="n">
        <x:v>58.39</x:v>
      </x:c>
      <x:c r="W7" s="169" t="n">
        <x:v>70.49</x:v>
      </x:c>
      <x:c r="X7" s="170" t="n">
        <x:v>80.85</x:v>
      </x:c>
    </x:row>
    <x:row r="8" ht="15" hidden="0" customHeight="1">
      <x:c r="A8" s="147" t="str">
        <x:v>301 a 500</x:v>
      </x:c>
      <x:c r="B8" s="148" t="n">
        <x:v>301</x:v>
      </x:c>
      <x:c r="C8" s="148" t="n">
        <x:v>500</x:v>
      </x:c>
      <x:c r="D8" s="148" t="str">
        <x:v>FAIXA</x:v>
      </x:c>
      <x:c r="E8" s="171" t="n">
        <x:v>11.15</x:v>
      </x:c>
      <x:c r="F8" s="171" t="n">
        <x:v>11.39</x:v>
      </x:c>
      <x:c r="G8" s="171" t="n">
        <x:v>11.63</x:v>
      </x:c>
      <x:c r="H8" s="171" t="n">
        <x:v>11.85</x:v>
      </x:c>
      <x:c r="I8" s="171" t="n">
        <x:v>19.69</x:v>
      </x:c>
      <x:c r="J8" s="171" t="n">
        <x:v>20.12</x:v>
      </x:c>
      <x:c r="K8" s="171" t="n">
        <x:v>20.57</x:v>
      </x:c>
      <x:c r="L8" s="171" t="n">
        <x:v>21.87</x:v>
      </x:c>
      <x:c r="M8" s="171" t="n">
        <x:v>30.06</x:v>
      </x:c>
      <x:c r="N8" s="171" t="n">
        <x:v>42.08</x:v>
      </x:c>
      <x:c r="O8" s="171" t="n">
        <x:v>54.09</x:v>
      </x:c>
      <x:c r="P8" s="171" t="n">
        <x:v>63.1</x:v>
      </x:c>
      <x:c r="Q8" s="171" t="n">
        <x:v>39.42</x:v>
      </x:c>
      <x:c r="R8" s="171" t="n">
        <x:v>50.45</x:v>
      </x:c>
      <x:c r="S8" s="171" t="n">
        <x:v>61.04</x:v>
      </x:c>
      <x:c r="T8" s="171" t="n">
        <x:v>70.04</x:v>
      </x:c>
      <x:c r="U8" s="171" t="n">
        <x:v>46.92</x:v>
      </x:c>
      <x:c r="V8" s="171" t="n">
        <x:v>60.07</x:v>
      </x:c>
      <x:c r="W8" s="171" t="n">
        <x:v>72.66</x:v>
      </x:c>
      <x:c r="X8" s="172" t="n">
        <x:v>83.37</x:v>
      </x:c>
    </x:row>
    <x:row r="9" ht="15" hidden="0" customHeight="1">
      <x:c r="A9" s="147" t="str">
        <x:v>501 a 1.000</x:v>
      </x:c>
      <x:c r="B9" s="148" t="n">
        <x:v>501</x:v>
      </x:c>
      <x:c r="C9" s="148" t="n">
        <x:v>1000</x:v>
      </x:c>
      <x:c r="D9" s="148" t="str">
        <x:v>FAIXA</x:v>
      </x:c>
      <x:c r="E9" s="171" t="n">
        <x:v>11.94</x:v>
      </x:c>
      <x:c r="F9" s="171" t="n">
        <x:v>12.18</x:v>
      </x:c>
      <x:c r="G9" s="171" t="n">
        <x:v>12.45</x:v>
      </x:c>
      <x:c r="H9" s="171" t="n">
        <x:v>12.71</x:v>
      </x:c>
      <x:c r="I9" s="171" t="n">
        <x:v>21.96</x:v>
      </x:c>
      <x:c r="J9" s="171" t="n">
        <x:v>22.18</x:v>
      </x:c>
      <x:c r="K9" s="171" t="n">
        <x:v>22.4</x:v>
      </x:c>
      <x:c r="L9" s="171" t="n">
        <x:v>22.64</x:v>
      </x:c>
      <x:c r="M9" s="171" t="n">
        <x:v>31.27</x:v>
      </x:c>
      <x:c r="N9" s="171" t="n">
        <x:v>43.77</x:v>
      </x:c>
      <x:c r="O9" s="171" t="n">
        <x:v>56.29</x:v>
      </x:c>
      <x:c r="P9" s="171" t="n">
        <x:v>65.68</x:v>
      </x:c>
      <x:c r="Q9" s="171" t="n">
        <x:v>40.43</x:v>
      </x:c>
      <x:c r="R9" s="171" t="n">
        <x:v>51.89</x:v>
      </x:c>
      <x:c r="S9" s="171" t="n">
        <x:v>62.87</x:v>
      </x:c>
      <x:c r="T9" s="171" t="n">
        <x:v>72.16</x:v>
      </x:c>
      <x:c r="U9" s="171" t="n">
        <x:v>48.15</x:v>
      </x:c>
      <x:c r="V9" s="171" t="n">
        <x:v>61.78</x:v>
      </x:c>
      <x:c r="W9" s="171" t="n">
        <x:v>74.85</x:v>
      </x:c>
      <x:c r="X9" s="172" t="n">
        <x:v>85.9</x:v>
      </x:c>
    </x:row>
    <x:row r="10" ht="15" hidden="0" customHeight="1">
      <x:c r="A10" s="147" t="str">
        <x:v>1.001 a 2.000</x:v>
      </x:c>
      <x:c r="B10" s="148" t="n">
        <x:v>1001</x:v>
      </x:c>
      <x:c r="C10" s="148" t="n">
        <x:v>2000</x:v>
      </x:c>
      <x:c r="D10" s="148" t="str">
        <x:v>FAIXA</x:v>
      </x:c>
      <x:c r="E10" s="171" t="n">
        <x:v>14.98</x:v>
      </x:c>
      <x:c r="F10" s="171" t="n">
        <x:v>15.31</x:v>
      </x:c>
      <x:c r="G10" s="171" t="n">
        <x:v>15.64</x:v>
      </x:c>
      <x:c r="H10" s="171" t="n">
        <x:v>15.94</x:v>
      </x:c>
      <x:c r="I10" s="171" t="n">
        <x:v>24.22</x:v>
      </x:c>
      <x:c r="J10" s="171" t="n">
        <x:v>24.46</x:v>
      </x:c>
      <x:c r="K10" s="171" t="n">
        <x:v>24.72</x:v>
      </x:c>
      <x:c r="L10" s="171" t="n">
        <x:v>24.96</x:v>
      </x:c>
      <x:c r="M10" s="171" t="n">
        <x:v>37.69</x:v>
      </x:c>
      <x:c r="N10" s="171" t="n">
        <x:v>52.8</x:v>
      </x:c>
      <x:c r="O10" s="171" t="n">
        <x:v>67.88</x:v>
      </x:c>
      <x:c r="P10" s="171" t="n">
        <x:v>79.17</x:v>
      </x:c>
      <x:c r="Q10" s="171" t="n">
        <x:v>50.57</x:v>
      </x:c>
      <x:c r="R10" s="171" t="n">
        <x:v>64.19</x:v>
      </x:c>
      <x:c r="S10" s="171" t="n">
        <x:v>77.33</x:v>
      </x:c>
      <x:c r="T10" s="171" t="n">
        <x:v>88.25</x:v>
      </x:c>
      <x:c r="U10" s="171" t="n">
        <x:v>60.2</x:v>
      </x:c>
      <x:c r="V10" s="171" t="n">
        <x:v>76.42</x:v>
      </x:c>
      <x:c r="W10" s="171" t="n">
        <x:v>92.05</x:v>
      </x:c>
      <x:c r="X10" s="172" t="n">
        <x:v>105.05</x:v>
      </x:c>
    </x:row>
    <x:row r="11" ht="15" hidden="0" customHeight="1">
      <x:c r="A11" s="147" t="str">
        <x:v>2.001 a 3.000</x:v>
      </x:c>
      <x:c r="B11" s="148" t="n">
        <x:v>2001</x:v>
      </x:c>
      <x:c r="C11" s="148" t="n">
        <x:v>3000</x:v>
      </x:c>
      <x:c r="D11" s="148" t="str">
        <x:v>FAIXA</x:v>
      </x:c>
      <x:c r="E11" s="171" t="n">
        <x:v>16.72</x:v>
      </x:c>
      <x:c r="F11" s="171" t="n">
        <x:v>17.08</x:v>
      </x:c>
      <x:c r="G11" s="171" t="n">
        <x:v>17.43</x:v>
      </x:c>
      <x:c r="H11" s="171" t="n">
        <x:v>17.78</x:v>
      </x:c>
      <x:c r="I11" s="171" t="n">
        <x:v>26.46</x:v>
      </x:c>
      <x:c r="J11" s="171" t="n">
        <x:v>26.72</x:v>
      </x:c>
      <x:c r="K11" s="171" t="n">
        <x:v>27.01</x:v>
      </x:c>
      <x:c r="L11" s="171" t="n">
        <x:v>27.28</x:v>
      </x:c>
      <x:c r="M11" s="171" t="n">
        <x:v>44.01</x:v>
      </x:c>
      <x:c r="N11" s="171" t="n">
        <x:v>59.42</x:v>
      </x:c>
      <x:c r="O11" s="171" t="n">
        <x:v>83.63</x:v>
      </x:c>
      <x:c r="P11" s="171" t="n">
        <x:v>101.22</x:v>
      </x:c>
      <x:c r="Q11" s="171" t="n">
        <x:v>60.61</x:v>
      </x:c>
      <x:c r="R11" s="171" t="n">
        <x:v>74.49</x:v>
      </x:c>
      <x:c r="S11" s="171" t="n">
        <x:v>95.28</x:v>
      </x:c>
      <x:c r="T11" s="171" t="n">
        <x:v>111.49</x:v>
      </x:c>
      <x:c r="U11" s="171" t="n">
        <x:v>72.14</x:v>
      </x:c>
      <x:c r="V11" s="171" t="n">
        <x:v>88.67</x:v>
      </x:c>
      <x:c r="W11" s="171" t="n">
        <x:v>113.43</x:v>
      </x:c>
      <x:c r="X11" s="172" t="n">
        <x:v>132.73</x:v>
      </x:c>
    </x:row>
    <x:row r="12" ht="15" hidden="0" customHeight="1">
      <x:c r="A12" s="147" t="str">
        <x:v>3.001 a 4.000</x:v>
      </x:c>
      <x:c r="B12" s="148" t="n">
        <x:v>3001</x:v>
      </x:c>
      <x:c r="C12" s="148" t="n">
        <x:v>4000</x:v>
      </x:c>
      <x:c r="D12" s="148" t="str">
        <x:v>FAIXA</x:v>
      </x:c>
      <x:c r="E12" s="171" t="n">
        <x:v>18.07</x:v>
      </x:c>
      <x:c r="F12" s="171" t="n">
        <x:v>18.45</x:v>
      </x:c>
      <x:c r="G12" s="171" t="n">
        <x:v>18.84</x:v>
      </x:c>
      <x:c r="H12" s="171" t="n">
        <x:v>19.21</x:v>
      </x:c>
      <x:c r="I12" s="171" t="n">
        <x:v>29.15</x:v>
      </x:c>
      <x:c r="J12" s="171" t="n">
        <x:v>29.42</x:v>
      </x:c>
      <x:c r="K12" s="171" t="n">
        <x:v>29.73</x:v>
      </x:c>
      <x:c r="L12" s="171" t="n">
        <x:v>30.04</x:v>
      </x:c>
      <x:c r="M12" s="171" t="n">
        <x:v>50.45</x:v>
      </x:c>
      <x:c r="N12" s="171" t="n">
        <x:v>68.13</x:v>
      </x:c>
      <x:c r="O12" s="171" t="n">
        <x:v>95.87</x:v>
      </x:c>
      <x:c r="P12" s="171" t="n">
        <x:v>116.06</x:v>
      </x:c>
      <x:c r="Q12" s="171" t="n">
        <x:v>66.02</x:v>
      </x:c>
      <x:c r="R12" s="171" t="n">
        <x:v>81.8</x:v>
      </x:c>
      <x:c r="S12" s="171" t="n">
        <x:v>105.59</x:v>
      </x:c>
      <x:c r="T12" s="171" t="n">
        <x:v>123.95</x:v>
      </x:c>
      <x:c r="U12" s="171" t="n">
        <x:v>78.58</x:v>
      </x:c>
      <x:c r="V12" s="171" t="n">
        <x:v>97.37</x:v>
      </x:c>
      <x:c r="W12" s="171" t="n">
        <x:v>125.7</x:v>
      </x:c>
      <x:c r="X12" s="172" t="n">
        <x:v>147.57</x:v>
      </x:c>
    </x:row>
    <x:row r="13" ht="15" hidden="0" customHeight="1">
      <x:c r="A13" s="147" t="str">
        <x:v>4.001 a 5.000</x:v>
      </x:c>
      <x:c r="B13" s="148" t="n">
        <x:v>4001</x:v>
      </x:c>
      <x:c r="C13" s="148" t="n">
        <x:v>5000</x:v>
      </x:c>
      <x:c r="D13" s="148" t="str">
        <x:v>FAIXA</x:v>
      </x:c>
      <x:c r="E13" s="171" t="n">
        <x:v>19.52</x:v>
      </x:c>
      <x:c r="F13" s="171" t="n">
        <x:v>19.95</x:v>
      </x:c>
      <x:c r="G13" s="171" t="n">
        <x:v>20.34</x:v>
      </x:c>
      <x:c r="H13" s="171" t="n">
        <x:v>20.76</x:v>
      </x:c>
      <x:c r="I13" s="171" t="n">
        <x:v>31.4</x:v>
      </x:c>
      <x:c r="J13" s="171" t="n">
        <x:v>31.72</x:v>
      </x:c>
      <x:c r="K13" s="171" t="n">
        <x:v>32.06</x:v>
      </x:c>
      <x:c r="L13" s="171" t="n">
        <x:v>32.37</x:v>
      </x:c>
      <x:c r="M13" s="171" t="n">
        <x:v>55.69</x:v>
      </x:c>
      <x:c r="N13" s="171" t="n">
        <x:v>75.18</x:v>
      </x:c>
      <x:c r="O13" s="171" t="n">
        <x:v>105.82</x:v>
      </x:c>
      <x:c r="P13" s="171" t="n">
        <x:v>128.08</x:v>
      </x:c>
      <x:c r="Q13" s="171" t="n">
        <x:v>79.84</x:v>
      </x:c>
      <x:c r="R13" s="171" t="n">
        <x:v>97.15</x:v>
      </x:c>
      <x:c r="S13" s="171" t="n">
        <x:v>123.37</x:v>
      </x:c>
      <x:c r="T13" s="171" t="n">
        <x:v>143.49</x:v>
      </x:c>
      <x:c r="U13" s="171" t="n">
        <x:v>95.06</x:v>
      </x:c>
      <x:c r="V13" s="171" t="n">
        <x:v>115.66</x:v>
      </x:c>
      <x:c r="W13" s="171" t="n">
        <x:v>146.86</x:v>
      </x:c>
      <x:c r="X13" s="172" t="n">
        <x:v>170.83</x:v>
      </x:c>
    </x:row>
    <x:row r="14" ht="15" hidden="0" customHeight="1">
      <x:c r="A14" s="147" t="str">
        <x:v>5.001 a 6.000</x:v>
      </x:c>
      <x:c r="B14" s="148" t="n">
        <x:v>5001</x:v>
      </x:c>
      <x:c r="C14" s="148" t="n">
        <x:v>6000</x:v>
      </x:c>
      <x:c r="D14" s="148" t="str">
        <x:v>FAIXA</x:v>
      </x:c>
      <x:c r="E14" s="171" t="n">
        <x:v>20.74</x:v>
      </x:c>
      <x:c r="F14" s="171" t="n">
        <x:v>21.18</x:v>
      </x:c>
      <x:c r="G14" s="171" t="n">
        <x:v>21.63</x:v>
      </x:c>
      <x:c r="H14" s="171" t="n">
        <x:v>22.08</x:v>
      </x:c>
      <x:c r="I14" s="171" t="n">
        <x:v>33.91</x:v>
      </x:c>
      <x:c r="J14" s="171" t="n">
        <x:v>34.28</x:v>
      </x:c>
      <x:c r="K14" s="171" t="n">
        <x:v>34.62</x:v>
      </x:c>
      <x:c r="L14" s="171" t="n">
        <x:v>34.97</x:v>
      </x:c>
      <x:c r="M14" s="171" t="n">
        <x:v>61.06</x:v>
      </x:c>
      <x:c r="N14" s="171" t="n">
        <x:v>82.42</x:v>
      </x:c>
      <x:c r="O14" s="171" t="n">
        <x:v>116.01</x:v>
      </x:c>
      <x:c r="P14" s="171" t="n">
        <x:v>140.42</x:v>
      </x:c>
      <x:c r="Q14" s="171" t="n">
        <x:v>84.37</x:v>
      </x:c>
      <x:c r="R14" s="171" t="n">
        <x:v>103.24</x:v>
      </x:c>
      <x:c r="S14" s="171" t="n">
        <x:v>131.94</x:v>
      </x:c>
      <x:c r="T14" s="171" t="n">
        <x:v>153.86</x:v>
      </x:c>
      <x:c r="U14" s="171" t="n">
        <x:v>100.42</x:v>
      </x:c>
      <x:c r="V14" s="171" t="n">
        <x:v>122.92</x:v>
      </x:c>
      <x:c r="W14" s="171" t="n">
        <x:v>157.05</x:v>
      </x:c>
      <x:c r="X14" s="172" t="n">
        <x:v>183.18</x:v>
      </x:c>
    </x:row>
    <x:row r="15" ht="15" hidden="0" customHeight="1">
      <x:c r="A15" s="147" t="str">
        <x:v>6.001 a 7.000</x:v>
      </x:c>
      <x:c r="B15" s="148" t="n">
        <x:v>6001</x:v>
      </x:c>
      <x:c r="C15" s="148" t="n">
        <x:v>7000</x:v>
      </x:c>
      <x:c r="D15" s="148" t="str">
        <x:v>FAIXA</x:v>
      </x:c>
      <x:c r="E15" s="171" t="n">
        <x:v>22.05</x:v>
      </x:c>
      <x:c r="F15" s="171" t="n">
        <x:v>22.52</x:v>
      </x:c>
      <x:c r="G15" s="171" t="n">
        <x:v>22.99</x:v>
      </x:c>
      <x:c r="H15" s="171" t="n">
        <x:v>23.46</x:v>
      </x:c>
      <x:c r="I15" s="171" t="n">
        <x:v>36.33</x:v>
      </x:c>
      <x:c r="J15" s="171" t="n">
        <x:v>36.69</x:v>
      </x:c>
      <x:c r="K15" s="171" t="n">
        <x:v>37.08</x:v>
      </x:c>
      <x:c r="L15" s="171" t="n">
        <x:v>37.45</x:v>
      </x:c>
      <x:c r="M15" s="171" t="n">
        <x:v>67.37</x:v>
      </x:c>
      <x:c r="N15" s="171" t="n">
        <x:v>90.95</x:v>
      </x:c>
      <x:c r="O15" s="171" t="n">
        <x:v>127.99</x:v>
      </x:c>
      <x:c r="P15" s="171" t="n">
        <x:v>154.96</x:v>
      </x:c>
      <x:c r="Q15" s="171" t="n">
        <x:v>89.67</x:v>
      </x:c>
      <x:c r="R15" s="171" t="n">
        <x:v>110.42</x:v>
      </x:c>
      <x:c r="S15" s="171" t="n">
        <x:v>142.01</x:v>
      </x:c>
      <x:c r="T15" s="171" t="n">
        <x:v>166.07</x:v>
      </x:c>
      <x:c r="U15" s="171" t="n">
        <x:v>106.76</x:v>
      </x:c>
      <x:c r="V15" s="171" t="n">
        <x:v>131.45</x:v>
      </x:c>
      <x:c r="W15" s="171" t="n">
        <x:v>169.04</x:v>
      </x:c>
      <x:c r="X15" s="172" t="n">
        <x:v>197.7</x:v>
      </x:c>
    </x:row>
    <x:row r="16" ht="15" hidden="0" customHeight="1">
      <x:c r="A16" s="147" t="str">
        <x:v>7.001 a 8.000</x:v>
      </x:c>
      <x:c r="B16" s="148" t="n">
        <x:v>7001</x:v>
      </x:c>
      <x:c r="C16" s="148" t="n">
        <x:v>8000</x:v>
      </x:c>
      <x:c r="D16" s="148" t="str">
        <x:v>FAIXA</x:v>
      </x:c>
      <x:c r="E16" s="171" t="n">
        <x:v>23.31</x:v>
      </x:c>
      <x:c r="F16" s="171" t="n">
        <x:v>23.8</x:v>
      </x:c>
      <x:c r="G16" s="171" t="n">
        <x:v>24.3</x:v>
      </x:c>
      <x:c r="H16" s="171" t="n">
        <x:v>24.79</x:v>
      </x:c>
      <x:c r="I16" s="171" t="n">
        <x:v>38.84</x:v>
      </x:c>
      <x:c r="J16" s="171" t="n">
        <x:v>39.27</x:v>
      </x:c>
      <x:c r="K16" s="171" t="n">
        <x:v>39.64</x:v>
      </x:c>
      <x:c r="L16" s="171" t="n">
        <x:v>40.06</x:v>
      </x:c>
      <x:c r="M16" s="171" t="n">
        <x:v>73.79</x:v>
      </x:c>
      <x:c r="N16" s="171" t="n">
        <x:v>99.63</x:v>
      </x:c>
      <x:c r="O16" s="171" t="n">
        <x:v>140.24</x:v>
      </x:c>
      <x:c r="P16" s="171" t="n">
        <x:v>169.76</x:v>
      </x:c>
      <x:c r="Q16" s="171" t="n">
        <x:v>99.79</x:v>
      </x:c>
      <x:c r="R16" s="171" t="n">
        <x:v>122.44</x:v>
      </x:c>
      <x:c r="S16" s="171" t="n">
        <x:v>157.02</x:v>
      </x:c>
      <x:c r="T16" s="171" t="n">
        <x:v>183.23</x:v>
      </x:c>
      <x:c r="U16" s="171" t="n">
        <x:v>118.79</x:v>
      </x:c>
      <x:c r="V16" s="171" t="n">
        <x:v>145.75</x:v>
      </x:c>
      <x:c r="W16" s="171" t="n">
        <x:v>186.93</x:v>
      </x:c>
      <x:c r="X16" s="172" t="n">
        <x:v>218.14</x:v>
      </x:c>
    </x:row>
    <x:row r="17" ht="15" hidden="0" customHeight="1">
      <x:c r="A17" s="147" t="str">
        <x:v>8.001 a 9.000</x:v>
      </x:c>
      <x:c r="B17" s="148" t="n">
        <x:v>8001</x:v>
      </x:c>
      <x:c r="C17" s="148" t="n">
        <x:v>9000</x:v>
      </x:c>
      <x:c r="D17" s="148" t="str">
        <x:v>FAIXA</x:v>
      </x:c>
      <x:c r="E17" s="171" t="n">
        <x:v>24.07</x:v>
      </x:c>
      <x:c r="F17" s="171" t="n">
        <x:v>24.59</x:v>
      </x:c>
      <x:c r="G17" s="171" t="n">
        <x:v>25.1</x:v>
      </x:c>
      <x:c r="H17" s="171" t="n">
        <x:v>25.6</x:v>
      </x:c>
      <x:c r="I17" s="171" t="n">
        <x:v>41.38</x:v>
      </x:c>
      <x:c r="J17" s="171" t="n">
        <x:v>41.8</x:v>
      </x:c>
      <x:c r="K17" s="171" t="n">
        <x:v>42.25</x:v>
      </x:c>
      <x:c r="L17" s="171" t="n">
        <x:v>42.65</x:v>
      </x:c>
      <x:c r="M17" s="171" t="n">
        <x:v>80.24</x:v>
      </x:c>
      <x:c r="N17" s="171" t="n">
        <x:v>108.32</x:v>
      </x:c>
      <x:c r="O17" s="171" t="n">
        <x:v>152.46</x:v>
      </x:c>
      <x:c r="P17" s="171" t="n">
        <x:v>184.55</x:v>
      </x:c>
      <x:c r="Q17" s="171" t="n">
        <x:v>105.19</x:v>
      </x:c>
      <x:c r="R17" s="171" t="n">
        <x:v>129.75</x:v>
      </x:c>
      <x:c r="S17" s="171" t="n">
        <x:v>167.29</x:v>
      </x:c>
      <x:c r="T17" s="171" t="n">
        <x:v>195.65</x:v>
      </x:c>
      <x:c r="U17" s="171" t="n">
        <x:v>125.23</x:v>
      </x:c>
      <x:c r="V17" s="171" t="n">
        <x:v>154.46</x:v>
      </x:c>
      <x:c r="W17" s="171" t="n">
        <x:v>199.16</x:v>
      </x:c>
      <x:c r="X17" s="172" t="n">
        <x:v>232.93</x:v>
      </x:c>
    </x:row>
    <x:row r="18" ht="15" hidden="0" customHeight="1">
      <x:c r="A18" s="147" t="str">
        <x:v>9.001 a 10.000</x:v>
      </x:c>
      <x:c r="B18" s="148" t="n">
        <x:v>9001</x:v>
      </x:c>
      <x:c r="C18" s="148" t="n">
        <x:v>10000</x:v>
      </x:c>
      <x:c r="D18" s="148" t="str">
        <x:v>FAIXA</x:v>
      </x:c>
      <x:c r="E18" s="171" t="n">
        <x:v>24.61</x:v>
      </x:c>
      <x:c r="F18" s="171" t="n">
        <x:v>25.13</x:v>
      </x:c>
      <x:c r="G18" s="171" t="n">
        <x:v>25.65</x:v>
      </x:c>
      <x:c r="H18" s="171" t="n">
        <x:v>26.17</x:v>
      </x:c>
      <x:c r="I18" s="171" t="n">
        <x:v>44.18</x:v>
      </x:c>
      <x:c r="J18" s="171" t="n">
        <x:v>44.63</x:v>
      </x:c>
      <x:c r="K18" s="171" t="n">
        <x:v>45.09</x:v>
      </x:c>
      <x:c r="L18" s="171" t="n">
        <x:v>45.54</x:v>
      </x:c>
      <x:c r="M18" s="171" t="n">
        <x:v>86.69</x:v>
      </x:c>
      <x:c r="N18" s="171" t="n">
        <x:v>117.03</x:v>
      </x:c>
      <x:c r="O18" s="171" t="n">
        <x:v>164.71</x:v>
      </x:c>
      <x:c r="P18" s="171" t="n">
        <x:v>199.38</x:v>
      </x:c>
      <x:c r="Q18" s="171" t="n">
        <x:v>110.62</x:v>
      </x:c>
      <x:c r="R18" s="171" t="n">
        <x:v>137.03</x:v>
      </x:c>
      <x:c r="S18" s="171" t="n">
        <x:v>177.56</x:v>
      </x:c>
      <x:c r="T18" s="171" t="n">
        <x:v>208.11</x:v>
      </x:c>
      <x:c r="U18" s="171" t="n">
        <x:v>131.69</x:v>
      </x:c>
      <x:c r="V18" s="171" t="n">
        <x:v>163.13</x:v>
      </x:c>
      <x:c r="W18" s="171" t="n">
        <x:v>211.39</x:v>
      </x:c>
      <x:c r="X18" s="172" t="n">
        <x:v>247.73</x:v>
      </x:c>
    </x:row>
    <x:row r="19" ht="15" hidden="0" customHeight="1">
      <x:c r="A19" s="149" t="str">
        <x:v>Kg Adicional</x:v>
      </x:c>
      <x:c r="B19" s="150"/>
      <x:c r="C19" s="150"/>
      <x:c r="D19" s="150" t="str">
        <x:v>KG_ADICIONAL</x:v>
      </x:c>
      <x:c r="E19" s="173" t="n">
        <x:v>3.04</x:v>
      </x:c>
      <x:c r="F19" s="173" t="n">
        <x:v>3.12</x:v>
      </x:c>
      <x:c r="G19" s="173" t="n">
        <x:v>3.19</x:v>
      </x:c>
      <x:c r="H19" s="173" t="n">
        <x:v>3.24</x:v>
      </x:c>
      <x:c r="I19" s="173" t="n">
        <x:v>5.48</x:v>
      </x:c>
      <x:c r="J19" s="173" t="n">
        <x:v>5.54</x:v>
      </x:c>
      <x:c r="K19" s="173" t="n">
        <x:v>5.59</x:v>
      </x:c>
      <x:c r="L19" s="173" t="n">
        <x:v>5.65</x:v>
      </x:c>
      <x:c r="M19" s="173" t="n">
        <x:v>10.75</x:v>
      </x:c>
      <x:c r="N19" s="173" t="n">
        <x:v>14.51</x:v>
      </x:c>
      <x:c r="O19" s="173" t="n">
        <x:v>20.43</x:v>
      </x:c>
      <x:c r="P19" s="173" t="n">
        <x:v>24.72</x:v>
      </x:c>
      <x:c r="Q19" s="173" t="n">
        <x:v>13.72</x:v>
      </x:c>
      <x:c r="R19" s="173" t="n">
        <x:v>16.98</x:v>
      </x:c>
      <x:c r="S19" s="173" t="n">
        <x:v>22.02</x:v>
      </x:c>
      <x:c r="T19" s="173" t="n">
        <x:v>25.81</x:v>
      </x:c>
      <x:c r="U19" s="173" t="n">
        <x:v>16.33</x:v>
      </x:c>
      <x:c r="V19" s="173" t="n">
        <x:v>20.23</x:v>
      </x:c>
      <x:c r="W19" s="173" t="n">
        <x:v>26.21</x:v>
      </x:c>
      <x:c r="X19" s="174" t="n">
        <x:v>30.71</x:v>
      </x:c>
    </x:row>
  </x:sheetData>
  <x:mergeCells>
    <x:mergeCell ref="A1:X1"/>
    <x:mergeCell ref="A2:X2"/>
  </x:mergeCells>
  <x:conditionalFormatting sqref="D7:D100">
    <x:cfRule type="expression" dxfId="9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62aeb9d17f48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19.200000762939453" hidden="0" customHeight="1">
      <x:c r="A1" s="5" t="str">
        <x:v>MINI ENVIOS PLATINUM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5" hidden="0" customHeight="1">
      <x:c r="A2" s="12" t="str">
        <x:v>Preço até 300 g. Objetos acima de 300 g e até 1 kg seguem a regra indicada na aba REGRAS_SERVICOS.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ht="15" hidden="0" customHeight="1">
      <x:c r="A3" s="136" t="str">
        <x:v>VIGÊNCIA</x:v>
      </x:c>
      <x:c r="B3" s="143" t="n">
        <x:v>46124</x:v>
      </x:c>
      <x:c r="C3" s="136" t="str">
        <x:v>CÓDIGO PRINCIPAL</x:v>
      </x:c>
      <x:c r="D3" s="141" t="str">
        <x:v>0422-7</x:v>
      </x:c>
    </x:row>
    <x:row r="4" ht="15" hidden="0" customHeight="1">
      <x:c r="A4" s="136" t="str">
        <x:v>ORIGEM PADRÃO</x:v>
      </x:c>
      <x:c r="B4" s="139" t="str">
        <x:v>Fortaleza/CE</x:v>
      </x:c>
      <x:c r="C4" s="136" t="str">
        <x:v>FONTE</x:v>
      </x:c>
      <x:c r="D4" s="141" t="str">
        <x:v>Tarifas_Encomendas_Platinum_Clube_2026.xlsx - aba MINI ENVIOS</x:v>
      </x:c>
    </x:row>
    <x:row r="5"/>
    <x:row r="6" ht="15" hidden="0" customHeight="1">
      <x:c r="A6" s="24" t="str">
        <x:v>FAIXA_PESO</x:v>
      </x:c>
      <x:c r="B6" s="99" t="str">
        <x:v>PESO_MIN_G</x:v>
      </x:c>
      <x:c r="C6" s="99" t="str">
        <x:v>PESO_MAX_G</x:v>
      </x:c>
      <x:c r="D6" s="99" t="str">
        <x:v>TIPO_FAIXA</x:v>
      </x:c>
      <x:c r="E6" s="99" t="str">
        <x:v>E1</x:v>
      </x:c>
      <x:c r="F6" s="99" t="str">
        <x:v>E2</x:v>
      </x:c>
      <x:c r="G6" s="99" t="str">
        <x:v>E3</x:v>
      </x:c>
      <x:c r="H6" s="99" t="str">
        <x:v>E4</x:v>
      </x:c>
      <x:c r="I6" s="99" t="str">
        <x:v>N1</x:v>
      </x:c>
      <x:c r="J6" s="99" t="str">
        <x:v>N2</x:v>
      </x:c>
      <x:c r="K6" s="99" t="str">
        <x:v>N3</x:v>
      </x:c>
      <x:c r="L6" s="99" t="str">
        <x:v>N4</x:v>
      </x:c>
      <x:c r="M6" s="99" t="str">
        <x:v>P1</x:v>
      </x:c>
      <x:c r="N6" s="99" t="str">
        <x:v>P2</x:v>
      </x:c>
      <x:c r="O6" s="99" t="str">
        <x:v>P3</x:v>
      </x:c>
      <x:c r="P6" s="99" t="str">
        <x:v>P4</x:v>
      </x:c>
      <x:c r="Q6" s="99" t="str">
        <x:v>I1</x:v>
      </x:c>
      <x:c r="R6" s="99" t="str">
        <x:v>I2</x:v>
      </x:c>
      <x:c r="S6" s="99" t="str">
        <x:v>I3</x:v>
      </x:c>
      <x:c r="T6" s="25" t="str">
        <x:v>I4</x:v>
      </x:c>
    </x:row>
    <x:row r="7" ht="15" hidden="0" customHeight="1">
      <x:c r="A7" s="199" t="str">
        <x:v>0 a 300</x:v>
      </x:c>
      <x:c r="B7" s="200" t="n">
        <x:v>0</x:v>
      </x:c>
      <x:c r="C7" s="200" t="n">
        <x:v>300</x:v>
      </x:c>
      <x:c r="D7" s="200" t="str">
        <x:v>FAIXA</x:v>
      </x:c>
      <x:c r="E7" s="207" t="n">
        <x:v>11.99</x:v>
      </x:c>
      <x:c r="F7" s="207" t="n">
        <x:v>12.5</x:v>
      </x:c>
      <x:c r="G7" s="207" t="n">
        <x:v>12.63</x:v>
      </x:c>
      <x:c r="H7" s="207" t="n">
        <x:v>12.76</x:v>
      </x:c>
      <x:c r="I7" s="207" t="n">
        <x:v>14.29</x:v>
      </x:c>
      <x:c r="J7" s="207" t="n">
        <x:v>15.99</x:v>
      </x:c>
      <x:c r="K7" s="207" t="n">
        <x:v>17.85</x:v>
      </x:c>
      <x:c r="L7" s="207" t="n">
        <x:v>21.42</x:v>
      </x:c>
      <x:c r="M7" s="207" t="n">
        <x:v>14.87</x:v>
      </x:c>
      <x:c r="N7" s="207" t="n">
        <x:v>16.64</x:v>
      </x:c>
      <x:c r="O7" s="207" t="n">
        <x:v>19.2</x:v>
      </x:c>
      <x:c r="P7" s="207" t="n">
        <x:v>22.28</x:v>
      </x:c>
      <x:c r="Q7" s="207" t="n">
        <x:v>16.53</x:v>
      </x:c>
      <x:c r="R7" s="207" t="n">
        <x:v>19.35</x:v>
      </x:c>
      <x:c r="S7" s="207" t="n">
        <x:v>22.33</x:v>
      </x:c>
      <x:c r="T7" s="208" t="n">
        <x:v>25.9</x:v>
      </x:c>
    </x:row>
  </x:sheetData>
  <x:mergeCells>
    <x:mergeCell ref="A1:T1"/>
    <x:mergeCell ref="A2:T2"/>
  </x:mergeCells>
  <x:conditionalFormatting sqref="D7:D100">
    <x:cfRule type="expression" dxfId="10" priority="1">
      <x:formula>D7="KG_ADICIONAL"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ead594dd3d447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7" max="7" width="36" hidden="0" customWidth="1"/>
    <x:col min="15" max="15" width="55" hidden="0" customWidth="1"/>
  </x:cols>
  <x:sheetData>
    <x:row r="1" ht="30" customHeight="1">
      <x:c r="A1" s="5" t="str">
        <x:v>REGRAS DE CÁLCULO E SERVIÇO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2" customHeight="1">
      <x:c r="A2" s="12" t="str">
        <x:v>Parâmetros separados dos preços para evitar regras escondidas no código.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 ht="30" customHeight="1">
      <x:c r="A4" s="24" t="str">
        <x:v>TABELA</x:v>
      </x:c>
      <x:c r="B4" s="99" t="str">
        <x:v>SERVICO</x:v>
      </x:c>
      <x:c r="C4" s="99" t="str">
        <x:v>CODIGO</x:v>
      </x:c>
      <x:c r="D4" s="99" t="str">
        <x:v>VIGENCIA</x:v>
      </x:c>
      <x:c r="E4" s="99" t="str">
        <x:v>DIVISOR_CUBICO</x:v>
      </x:c>
      <x:c r="F4" s="99" t="str">
        <x:v>ISENCAO_CUBAGEM_KG</x:v>
      </x:c>
      <x:c r="G4" s="99" t="str">
        <x:v>CRITERIO_PESO</x:v>
      </x:c>
      <x:c r="H4" s="99" t="str">
        <x:v>AD_VALOREM_PCT</x:v>
      </x:c>
      <x:c r="I4" s="99" t="str">
        <x:v>INDENIZACAO_AUTOMATICA</x:v>
      </x:c>
      <x:c r="J4" s="99" t="str">
        <x:v>LIMITE_VALOR_DECLARADO</x:v>
      </x:c>
      <x:c r="K4" s="99" t="str">
        <x:v>MANUSEIO_ESPECIAL</x:v>
      </x:c>
      <x:c r="L4" s="99" t="str">
        <x:v>PESO_MIN_G</x:v>
      </x:c>
      <x:c r="M4" s="99" t="str">
        <x:v>PESO_MAX_G</x:v>
      </x:c>
      <x:c r="N4" s="99" t="str">
        <x:v>STATUS</x:v>
      </x:c>
      <x:c r="O4" s="25" t="str">
        <x:v>OBSERVACAO</x:v>
      </x:c>
    </x:row>
    <x:row r="5">
      <x:c r="A5" s="48" t="str">
        <x:v>À VISTA</x:v>
      </x:c>
      <x:c r="B5" s="110" t="str">
        <x:v>PAC</x:v>
      </x:c>
      <x:c r="C5" s="110" t="str">
        <x:v>0451-0</x:v>
      </x:c>
      <x:c r="D5" s="211" t="n">
        <x:v>46124</x:v>
      </x:c>
      <x:c r="E5" s="110" t="n">
        <x:v>6000</x:v>
      </x:c>
      <x:c r="F5" s="110" t="n">
        <x:v>5</x:v>
      </x:c>
      <x:c r="G5" s="110" t="str">
        <x:v>MAIOR_REAL_CUBICO_SE_CUBICO_ACIMA_5KG</x:v>
      </x:c>
      <x:c r="H5" s="217" t="n">
        <x:v>2</x:v>
      </x:c>
      <x:c r="I5" s="217" t="n">
        <x:v>25.63</x:v>
      </x:c>
      <x:c r="J5" s="217" t="n">
        <x:v>4477.36</x:v>
      </x:c>
      <x:c r="K5" s="217" t="n">
        <x:v>11.19</x:v>
      </x:c>
      <x:c r="L5" s="110"/>
      <x:c r="M5" s="110"/>
      <x:c r="N5" s="110" t="str">
        <x:v>CONFIRMADO</x:v>
      </x:c>
      <x:c r="O5" s="49" t="str">
        <x:v>Valores e regras da aba de instruções PAC.</x:v>
      </x:c>
    </x:row>
    <x:row r="6">
      <x:c r="A6" s="50" t="str">
        <x:v>À VISTA</x:v>
      </x:c>
      <x:c r="B6" s="111" t="str">
        <x:v>SEDEX</x:v>
      </x:c>
      <x:c r="C6" s="111" t="str">
        <x:v>0401-4</x:v>
      </x:c>
      <x:c r="D6" s="212" t="n">
        <x:v>46124</x:v>
      </x:c>
      <x:c r="E6" s="111" t="n">
        <x:v>6000</x:v>
      </x:c>
      <x:c r="F6" s="111" t="n">
        <x:v>5</x:v>
      </x:c>
      <x:c r="G6" s="111" t="str">
        <x:v>MAIOR_REAL_CUBICO_SE_CUBICO_ACIMA_5KG</x:v>
      </x:c>
      <x:c r="H6" s="218" t="n">
        <x:v>2</x:v>
      </x:c>
      <x:c r="I6" s="218" t="n">
        <x:v>25.63</x:v>
      </x:c>
      <x:c r="J6" s="218" t="n">
        <x:v>38057.59</x:v>
      </x:c>
      <x:c r="K6" s="218" t="n">
        <x:v>11.19</x:v>
      </x:c>
      <x:c r="L6" s="111"/>
      <x:c r="M6" s="111"/>
      <x:c r="N6" s="111" t="str">
        <x:v>CONFIRMADO</x:v>
      </x:c>
      <x:c r="O6" s="51" t="str">
        <x:v>Aplicar a mesma lógica de cubagem da tabela à vista.</x:v>
      </x:c>
    </x:row>
    <x:row r="7">
      <x:c r="A7" s="50" t="str">
        <x:v>APP</x:v>
      </x:c>
      <x:c r="B7" s="111" t="str">
        <x:v>PAC</x:v>
      </x:c>
      <x:c r="C7" s="111" t="str">
        <x:v>0339-5</x:v>
      </x:c>
      <x:c r="D7" s="212" t="n">
        <x:v>46124</x:v>
      </x:c>
      <x:c r="E7" s="111" t="n">
        <x:v>7000</x:v>
      </x:c>
      <x:c r="F7" s="111" t="n">
        <x:v>0</x:v>
      </x:c>
      <x:c r="G7" s="111" t="str">
        <x:v>SEMPRE_PESO_CUBICO</x:v>
      </x:c>
      <x:c r="H7" s="218"/>
      <x:c r="I7" s="218"/>
      <x:c r="J7" s="218"/>
      <x:c r="K7" s="218"/>
      <x:c r="L7" s="111"/>
      <x:c r="M7" s="111"/>
      <x:c r="N7" s="111" t="str">
        <x:v>CONFIRMADO</x:v>
      </x:c>
      <x:c r="O7" s="51" t="str">
        <x:v>A instrução do APP informa cobrança sempre pelo peso cúbico.</x:v>
      </x:c>
    </x:row>
    <x:row r="8">
      <x:c r="A8" s="50" t="str">
        <x:v>APP</x:v>
      </x:c>
      <x:c r="B8" s="111" t="str">
        <x:v>SEDEX</x:v>
      </x:c>
      <x:c r="C8" s="111" t="str">
        <x:v>4195-5</x:v>
      </x:c>
      <x:c r="D8" s="212" t="n">
        <x:v>46124</x:v>
      </x:c>
      <x:c r="E8" s="111" t="n">
        <x:v>7000</x:v>
      </x:c>
      <x:c r="F8" s="111" t="n">
        <x:v>0</x:v>
      </x:c>
      <x:c r="G8" s="111" t="str">
        <x:v>SEMPRE_PESO_CUBICO</x:v>
      </x:c>
      <x:c r="H8" s="218"/>
      <x:c r="I8" s="218"/>
      <x:c r="J8" s="218"/>
      <x:c r="K8" s="218"/>
      <x:c r="L8" s="111"/>
      <x:c r="M8" s="111"/>
      <x:c r="N8" s="111" t="str">
        <x:v>CONFIRMADO</x:v>
      </x:c>
      <x:c r="O8" s="51" t="str">
        <x:v>A instrução do APP informa cobrança sempre pelo peso cúbico.</x:v>
      </x:c>
    </x:row>
    <x:row r="9">
      <x:c r="A9" s="50" t="str">
        <x:v>PLATINUM</x:v>
      </x:c>
      <x:c r="B9" s="111" t="str">
        <x:v>PAC</x:v>
      </x:c>
      <x:c r="C9" s="111" t="str">
        <x:v>0329-8 / 0466-9</x:v>
      </x:c>
      <x:c r="D9" s="212" t="n">
        <x:v>46124</x:v>
      </x:c>
      <x:c r="E9" s="111" t="n">
        <x:v>6000</x:v>
      </x:c>
      <x:c r="F9" s="111" t="n">
        <x:v>5</x:v>
      </x:c>
      <x:c r="G9" s="111" t="str">
        <x:v>MAIOR_REAL_CUBICO_SE_CUBICO_ACIMA_5KG</x:v>
      </x:c>
      <x:c r="H9" s="218" t="n">
        <x:v>1</x:v>
      </x:c>
      <x:c r="I9" s="218" t="n">
        <x:v>25.63</x:v>
      </x:c>
      <x:c r="J9" s="218" t="n">
        <x:v>4668.29</x:v>
      </x:c>
      <x:c r="K9" s="218" t="n">
        <x:v>11.19</x:v>
      </x:c>
      <x:c r="L9" s="111"/>
      <x:c r="M9" s="111"/>
      <x:c r="N9" s="111" t="str">
        <x:v>CONFIRMADO</x:v>
      </x:c>
      <x:c r="O9" s="51" t="str">
        <x:v>Códigos antigo e atual mantidos como aliases.</x:v>
      </x:c>
    </x:row>
    <x:row r="10">
      <x:c r="A10" s="50" t="str">
        <x:v>PLATINUM</x:v>
      </x:c>
      <x:c r="B10" s="111" t="str">
        <x:v>SEDEX</x:v>
      </x:c>
      <x:c r="C10" s="111" t="str">
        <x:v>0322-0 / 0416-2</x:v>
      </x:c>
      <x:c r="D10" s="212" t="n">
        <x:v>46124</x:v>
      </x:c>
      <x:c r="E10" s="111" t="n">
        <x:v>6000</x:v>
      </x:c>
      <x:c r="F10" s="111" t="n">
        <x:v>5</x:v>
      </x:c>
      <x:c r="G10" s="111" t="str">
        <x:v>MAIOR_REAL_CUBICO_SE_CUBICO_ACIMA_5KG</x:v>
      </x:c>
      <x:c r="H10" s="218" t="n">
        <x:v>1</x:v>
      </x:c>
      <x:c r="I10" s="218" t="n">
        <x:v>25.63</x:v>
      </x:c>
      <x:c r="J10" s="218" t="n">
        <x:v>39680.48</x:v>
      </x:c>
      <x:c r="K10" s="218" t="n">
        <x:v>11.19</x:v>
      </x:c>
      <x:c r="L10" s="111"/>
      <x:c r="M10" s="111"/>
      <x:c r="N10" s="111" t="str">
        <x:v>CONFIRMADO</x:v>
      </x:c>
      <x:c r="O10" s="51" t="str">
        <x:v>Códigos antigo e atual mantidos como aliases.</x:v>
      </x:c>
    </x:row>
    <x:row r="11">
      <x:c r="A11" s="52" t="str">
        <x:v>PLATINUM</x:v>
      </x:c>
      <x:c r="B11" s="112" t="str">
        <x:v>MINI ENVIOS</x:v>
      </x:c>
      <x:c r="C11" s="112" t="str">
        <x:v>0422-7</x:v>
      </x:c>
      <x:c r="D11" s="213" t="n">
        <x:v>46124</x:v>
      </x:c>
      <x:c r="E11" s="112"/>
      <x:c r="F11" s="112"/>
      <x:c r="G11" s="112" t="str">
        <x:v>PESO_REAL_ATE_300G</x:v>
      </x:c>
      <x:c r="H11" s="219" t="n">
        <x:v>2</x:v>
      </x:c>
      <x:c r="I11" s="219" t="n">
        <x:v>12.82</x:v>
      </x:c>
      <x:c r="J11" s="219" t="n">
        <x:v>116.7</x:v>
      </x:c>
      <x:c r="K11" s="219"/>
      <x:c r="L11" s="112" t="n">
        <x:v>0</x:v>
      </x:c>
      <x:c r="M11" s="112" t="n">
        <x:v>300</x:v>
      </x:c>
      <x:c r="N11" s="112" t="str">
        <x:v>CONFIRMADO</x:v>
      </x:c>
      <x:c r="O11" s="53" t="str">
        <x:v>Acima de 300 g e até 1 kg, a instrução manda usar o preço do PAC vigente.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e13873ddd7244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45" hidden="0" customWidth="1"/>
    <x:col min="8" max="8" width="45" hidden="0" customWidth="1"/>
  </x:cols>
  <x:sheetData>
    <x:row r="1" ht="30" customHeight="1">
      <x:c r="A1" s="5" t="str">
        <x:v>MAPEAMENTO DE TRECHOS - ORIGEM CE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Regras confirmadas e pendências que o motor de cálculo deverá respeitar.</x:v>
      </x:c>
      <x:c r="B2" s="12"/>
      <x:c r="C2" s="12"/>
      <x:c r="D2" s="12"/>
      <x:c r="E2" s="12"/>
      <x:c r="F2" s="12"/>
      <x:c r="G2" s="12"/>
      <x:c r="H2" s="12"/>
    </x:row>
    <x:row r="4" ht="30" customHeight="1">
      <x:c r="A4" s="24" t="str">
        <x:v>TABELA</x:v>
      </x:c>
      <x:c r="B4" s="99" t="str">
        <x:v>SERVICO</x:v>
      </x:c>
      <x:c r="C4" s="99" t="str">
        <x:v>TIPO_DESTINO</x:v>
      </x:c>
      <x:c r="D4" s="99" t="str">
        <x:v>CONDICAO</x:v>
      </x:c>
      <x:c r="E4" s="99" t="str">
        <x:v>GRUPO</x:v>
      </x:c>
      <x:c r="F4" s="99" t="str">
        <x:v>STATUS</x:v>
      </x:c>
      <x:c r="G4" s="99" t="str">
        <x:v>FONTE</x:v>
      </x:c>
      <x:c r="H4" s="25" t="str">
        <x:v>OBSERVACAO</x:v>
      </x:c>
    </x:row>
    <x:row r="5">
      <x:c r="A5" s="48" t="str">
        <x:v>À VISTA</x:v>
      </x:c>
      <x:c r="B5" s="110" t="str">
        <x:v>PAC/SEDEX</x:v>
      </x:c>
      <x:c r="C5" s="110" t="str">
        <x:v>LOCAL</x:v>
      </x:c>
      <x:c r="D5" s="110" t="str">
        <x:v>Destino local</x:v>
      </x:c>
      <x:c r="E5" s="110" t="str">
        <x:v>LOCAL</x:v>
      </x:c>
      <x:c r="F5" s="110" t="str">
        <x:v>CONFIRMADO</x:v>
      </x:c>
      <x:c r="G5" s="110" t="str">
        <x:v>Abas CE</x:v>
      </x:c>
      <x:c r="H5" s="49" t="str">
        <x:v>Não usa classificação A+/B/C.</x:v>
      </x:c>
    </x:row>
    <x:row r="6">
      <x:c r="A6" s="50" t="str">
        <x:v>À VISTA</x:v>
      </x:c>
      <x:c r="B6" s="111" t="str">
        <x:v>PAC/SEDEX</x:v>
      </x:c>
      <x:c r="C6" s="111" t="str">
        <x:v>ESTADUAL</x:v>
      </x:c>
      <x:c r="D6" s="111" t="str">
        <x:v>Destino dentro do Ceará</x:v>
      </x:c>
      <x:c r="E6" s="111" t="str">
        <x:v>ESTADUAL</x:v>
      </x:c>
      <x:c r="F6" s="111" t="str">
        <x:v>CONFIRMADO</x:v>
      </x:c>
      <x:c r="G6" s="111" t="str">
        <x:v>Abas CE</x:v>
      </x:c>
      <x:c r="H6" s="51" t="str">
        <x:v>Não usa classificação A+/B/C.</x:v>
      </x:c>
    </x:row>
    <x:row r="7">
      <x:c r="A7" s="50" t="str">
        <x:v>À VISTA</x:v>
      </x:c>
      <x:c r="B7" s="111" t="str">
        <x:v>PAC/SEDEX</x:v>
      </x:c>
      <x:c r="C7" s="111" t="str">
        <x:v>CAPITAL_CAPITAL</x:v>
      </x:c>
      <x:c r="D7" s="111" t="str">
        <x:v>Destino é capital de outra UF</x:v>
      </x:c>
      <x:c r="E7" s="111" t="str">
        <x:v>GRUPO_UF_DA_ABA</x:v>
      </x:c>
      <x:c r="F7" s="111" t="str">
        <x:v>CONFIRMADO</x:v>
      </x:c>
      <x:c r="G7" s="111" t="str">
        <x:v>Abas CE</x:v>
      </x:c>
      <x:c r="H7" s="51" t="str"/>
    </x:row>
    <x:row r="8">
      <x:c r="A8" s="50" t="str">
        <x:v>À VISTA</x:v>
      </x:c>
      <x:c r="B8" s="111" t="str">
        <x:v>PAC/SEDEX</x:v>
      </x:c>
      <x:c r="C8" s="111" t="str">
        <x:v>CAPITAL_INTERIOR</x:v>
      </x:c>
      <x:c r="D8" s="111" t="str">
        <x:v>Destino não é capital</x:v>
      </x:c>
      <x:c r="E8" s="111" t="str">
        <x:v>GRUPO_UF_DA_ABA</x:v>
      </x:c>
      <x:c r="F8" s="111" t="str">
        <x:v>CONFIRMADO</x:v>
      </x:c>
      <x:c r="G8" s="111" t="str">
        <x:v>Abas CE</x:v>
      </x:c>
      <x:c r="H8" s="51" t="str"/>
    </x:row>
    <x:row r="9">
      <x:c r="A9" s="50" t="str">
        <x:v>PLATINUM</x:v>
      </x:c>
      <x:c r="B9" s="111" t="str">
        <x:v>SEDEX</x:v>
      </x:c>
      <x:c r="C9" s="111" t="str">
        <x:v>LOCAL</x:v>
      </x:c>
      <x:c r="D9" s="111" t="str">
        <x:v>Origem Fortaleza/CE</x:v>
      </x:c>
      <x:c r="E9" s="111" t="str">
        <x:v>L3</x:v>
      </x:c>
      <x:c r="F9" s="111" t="str">
        <x:v>CONFIRMADO</x:v>
      </x:c>
      <x:c r="G9" s="111" t="str">
        <x:v>Tabela Platinum Fortaleza E+</x:v>
      </x:c>
      <x:c r="H9" s="51" t="str"/>
    </x:row>
    <x:row r="10">
      <x:c r="A10" s="50" t="str">
        <x:v>PLATINUM</x:v>
      </x:c>
      <x:c r="B10" s="111" t="str">
        <x:v>SEDEX</x:v>
      </x:c>
      <x:c r="C10" s="111" t="str">
        <x:v>ESTADUAL</x:v>
      </x:c>
      <x:c r="D10" s="111" t="str">
        <x:v>Destino CE</x:v>
      </x:c>
      <x:c r="E10" s="111" t="str">
        <x:v>E4</x:v>
      </x:c>
      <x:c r="F10" s="111" t="str">
        <x:v>CONFIRMADO</x:v>
      </x:c>
      <x:c r="G10" s="111" t="str">
        <x:v>Tabela Platinum Fortaleza E+</x:v>
      </x:c>
      <x:c r="H10" s="51" t="str"/>
    </x:row>
    <x:row r="11">
      <x:c r="A11" s="50" t="str">
        <x:v>PLATINUM</x:v>
      </x:c>
      <x:c r="B11" s="111" t="str">
        <x:v>PAC</x:v>
      </x:c>
      <x:c r="C11" s="111" t="str">
        <x:v>ESTADUAL</x:v>
      </x:c>
      <x:c r="D11" s="111" t="str">
        <x:v>Destino CE</x:v>
      </x:c>
      <x:c r="E11" s="111" t="str">
        <x:v>E4</x:v>
      </x:c>
      <x:c r="F11" s="111" t="str">
        <x:v>CONFIRMADO</x:v>
      </x:c>
      <x:c r="G11" s="111" t="str">
        <x:v>Tabela Platinum Fortaleza E+</x:v>
      </x:c>
      <x:c r="H11" s="51" t="str">
        <x:v>A tabela específica não expõe grupo local separado para PAC.</x:v>
      </x:c>
    </x:row>
    <x:row r="12">
      <x:c r="A12" s="50" t="str">
        <x:v>PLATINUM</x:v>
      </x:c>
      <x:c r="B12" s="111" t="str">
        <x:v>PAC/SEDEX</x:v>
      </x:c>
      <x:c r="C12" s="111" t="str">
        <x:v>INTERESTADUAL_CAPITAL_A+</x:v>
      </x:c>
      <x:c r="D12" s="111" t="str">
        <x:v>Capital ou cidade A+</x:v>
      </x:c>
      <x:c r="E12" s="111" t="str">
        <x:v>N1-N4</x:v>
      </x:c>
      <x:c r="F12" s="111" t="str">
        <x:v>DEPENDE_MAPA</x:v>
      </x:c>
      <x:c r="G12" s="111" t="str">
        <x:v>Instruções Platinum + Classificação 2023</x:v>
      </x:c>
      <x:c r="H12" s="51" t="str">
        <x:v>O índice 1-4 depende das tabelas de precificação.</x:v>
      </x:c>
    </x:row>
    <x:row r="13">
      <x:c r="A13" s="50" t="str">
        <x:v>PLATINUM</x:v>
      </x:c>
      <x:c r="B13" s="111" t="str">
        <x:v>PAC/SEDEX</x:v>
      </x:c>
      <x:c r="C13" s="111" t="str">
        <x:v>INTERESTADUAL_CIDADE_B</x:v>
      </x:c>
      <x:c r="D13" s="111" t="str">
        <x:v>Cidade classe B</x:v>
      </x:c>
      <x:c r="E13" s="111" t="str">
        <x:v>P1-P4</x:v>
      </x:c>
      <x:c r="F13" s="111" t="str">
        <x:v>DEPENDE_MAPA</x:v>
      </x:c>
      <x:c r="G13" s="111" t="str">
        <x:v>Instruções Platinum + Classificação 2023</x:v>
      </x:c>
      <x:c r="H13" s="51" t="str">
        <x:v>A tabela específica de Fortaleza não mostra claramente o uso de P; manter pendência.</x:v>
      </x:c>
    </x:row>
    <x:row r="14">
      <x:c r="A14" s="50" t="str">
        <x:v>PLATINUM</x:v>
      </x:c>
      <x:c r="B14" s="111" t="str">
        <x:v>PAC/SEDEX</x:v>
      </x:c>
      <x:c r="C14" s="111" t="str">
        <x:v>INTERESTADUAL_DEMAIS</x:v>
      </x:c>
      <x:c r="D14" s="111" t="str">
        <x:v>Demais cidades</x:v>
      </x:c>
      <x:c r="E14" s="111" t="str">
        <x:v>I1-I4</x:v>
      </x:c>
      <x:c r="F14" s="111" t="str">
        <x:v>DEPENDE_MAPA</x:v>
      </x:c>
      <x:c r="G14" s="111" t="str">
        <x:v>Instruções Platinum + Classificação 2023</x:v>
      </x:c>
      <x:c r="H14" s="51" t="str">
        <x:v>O índice 1-4 depende da matriz origem-destino.</x:v>
      </x:c>
    </x:row>
    <x:row r="15">
      <x:c r="A15" s="52" t="str">
        <x:v>APP</x:v>
      </x:c>
      <x:c r="B15" s="112" t="str">
        <x:v>PAC/SEDEX</x:v>
      </x:c>
      <x:c r="C15" s="112" t="str">
        <x:v>LOCAL_ESTADUAL_INTERESTADUAL</x:v>
      </x:c>
      <x:c r="D15" s="112" t="str">
        <x:v>Grupos L/E/N/I</x:v>
      </x:c>
      <x:c r="E15" s="112" t="str">
        <x:v>A DEFINIR</x:v>
      </x:c>
      <x:c r="F15" s="112" t="str">
        <x:v>PENDENTE</x:v>
      </x:c>
      <x:c r="G15" s="112" t="str">
        <x:v>Instruções APP</x:v>
      </x:c>
      <x:c r="H15" s="53" t="str">
        <x:v>Preços existem, mas o subgrupo 1-4 precisa ser homologado.</x:v>
      </x:c>
    </x:row>
  </x:sheetData>
  <x:mergeCells>
    <x:mergeCell ref="A1:H1"/>
    <x:mergeCell ref="A2:H2"/>
  </x:mergeCells>
  <x:conditionalFormatting sqref="F5:F15">
    <x:cfRule type="expression" dxfId="0" priority="1">
      <x:formula>F5="PENDENTE"</x:formula>
    </x:cfRule>
    <x:cfRule type="expression" dxfId="1" priority="2">
      <x:formula>F5="CONFIRMADO"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5b6993b0b04d4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5" t="str">
        <x:v>CLASSIFICAÇÃO DAS CIDADES</x:v>
      </x:c>
      <x:c r="B1" s="5"/>
      <x:c r="C1" s="5"/>
      <x:c r="D1" s="5"/>
      <x:c r="E1" s="5"/>
      <x:c r="F1" s="5"/>
    </x:row>
    <x:row r="2" ht="32" customHeight="1">
      <x:c r="A2" s="12" t="str">
        <x:v>Base provisória de 31/01/2023. Substituir integralmente quando houver edição mais recente.</x:v>
      </x:c>
      <x:c r="B2" s="12"/>
      <x:c r="C2" s="12"/>
      <x:c r="D2" s="12"/>
      <x:c r="E2" s="12"/>
      <x:c r="F2" s="12"/>
    </x:row>
    <x:row r="4" ht="30" customHeight="1">
      <x:c r="A4" s="24" t="str">
        <x:v>UF</x:v>
      </x:c>
      <x:c r="B4" s="99" t="str">
        <x:v>SE</x:v>
      </x:c>
      <x:c r="C4" s="99" t="str">
        <x:v>LOCALIDADE</x:v>
      </x:c>
      <x:c r="D4" s="99" t="str">
        <x:v>ID_MUNICIPIO_IBGE</x:v>
      </x:c>
      <x:c r="E4" s="99" t="str">
        <x:v>CLASS_ATUALIZADA</x:v>
      </x:c>
      <x:c r="F4" s="25" t="str">
        <x:v>CLASS_ANTERIOR</x:v>
      </x:c>
    </x:row>
    <x:row r="5">
      <x:c r="A5" s="48" t="str">
        <x:v>SP</x:v>
      </x:c>
      <x:c r="B5" s="110" t="str">
        <x:v>SPM</x:v>
      </x:c>
      <x:c r="C5" s="110" t="str">
        <x:v>SAO PAULO</x:v>
      </x:c>
      <x:c r="D5" s="110" t="n">
        <x:v>3550308</x:v>
      </x:c>
      <x:c r="E5" s="110" t="str">
        <x:v>A+</x:v>
      </x:c>
      <x:c r="F5" s="49" t="str">
        <x:v>A+</x:v>
      </x:c>
    </x:row>
    <x:row r="6">
      <x:c r="A6" s="50" t="str">
        <x:v>RJ</x:v>
      </x:c>
      <x:c r="B6" s="111" t="str">
        <x:v>RJ</x:v>
      </x:c>
      <x:c r="C6" s="111" t="str">
        <x:v>RIO DE JANEIRO</x:v>
      </x:c>
      <x:c r="D6" s="111" t="n">
        <x:v>3304557</x:v>
      </x:c>
      <x:c r="E6" s="111" t="str">
        <x:v>A+</x:v>
      </x:c>
      <x:c r="F6" s="51" t="str">
        <x:v>A+</x:v>
      </x:c>
    </x:row>
    <x:row r="7">
      <x:c r="A7" s="50" t="str">
        <x:v>MG</x:v>
      </x:c>
      <x:c r="B7" s="111" t="str">
        <x:v>MG</x:v>
      </x:c>
      <x:c r="C7" s="111" t="str">
        <x:v>BELO HORIZONTE</x:v>
      </x:c>
      <x:c r="D7" s="111" t="n">
        <x:v>3106200</x:v>
      </x:c>
      <x:c r="E7" s="111" t="str">
        <x:v>A+</x:v>
      </x:c>
      <x:c r="F7" s="51" t="str">
        <x:v>A+</x:v>
      </x:c>
    </x:row>
    <x:row r="8">
      <x:c r="A8" s="50" t="str">
        <x:v>PR</x:v>
      </x:c>
      <x:c r="B8" s="111" t="str">
        <x:v>PR</x:v>
      </x:c>
      <x:c r="C8" s="111" t="str">
        <x:v>CURITIBA</x:v>
      </x:c>
      <x:c r="D8" s="111" t="n">
        <x:v>4106902</x:v>
      </x:c>
      <x:c r="E8" s="111" t="str">
        <x:v>A+</x:v>
      </x:c>
      <x:c r="F8" s="51" t="str">
        <x:v>A+</x:v>
      </x:c>
    </x:row>
    <x:row r="9">
      <x:c r="A9" s="50" t="str">
        <x:v>DF</x:v>
      </x:c>
      <x:c r="B9" s="111" t="str">
        <x:v>BSB</x:v>
      </x:c>
      <x:c r="C9" s="111" t="str">
        <x:v>BRASILIA</x:v>
      </x:c>
      <x:c r="D9" s="111" t="n">
        <x:v>5300108</x:v>
      </x:c>
      <x:c r="E9" s="111" t="str">
        <x:v>A+</x:v>
      </x:c>
      <x:c r="F9" s="51" t="str">
        <x:v>A+</x:v>
      </x:c>
    </x:row>
    <x:row r="10">
      <x:c r="A10" s="50" t="str">
        <x:v>BA</x:v>
      </x:c>
      <x:c r="B10" s="111" t="str">
        <x:v>BA</x:v>
      </x:c>
      <x:c r="C10" s="111" t="str">
        <x:v>SALVADOR</x:v>
      </x:c>
      <x:c r="D10" s="111" t="n">
        <x:v>2927408</x:v>
      </x:c>
      <x:c r="E10" s="111" t="str">
        <x:v>A+</x:v>
      </x:c>
      <x:c r="F10" s="51" t="str">
        <x:v>A+</x:v>
      </x:c>
    </x:row>
    <x:row r="11">
      <x:c r="A11" s="50" t="str">
        <x:v>CE</x:v>
      </x:c>
      <x:c r="B11" s="111" t="str">
        <x:v>CE</x:v>
      </x:c>
      <x:c r="C11" s="111" t="str">
        <x:v>FORTALEZA</x:v>
      </x:c>
      <x:c r="D11" s="111" t="n">
        <x:v>2304400</x:v>
      </x:c>
      <x:c r="E11" s="111" t="str">
        <x:v>A+</x:v>
      </x:c>
      <x:c r="F11" s="51" t="str">
        <x:v>A+</x:v>
      </x:c>
    </x:row>
    <x:row r="12">
      <x:c r="A12" s="50" t="str">
        <x:v>RS</x:v>
      </x:c>
      <x:c r="B12" s="111" t="str">
        <x:v>RS</x:v>
      </x:c>
      <x:c r="C12" s="111" t="str">
        <x:v>PORTO ALEGRE</x:v>
      </x:c>
      <x:c r="D12" s="111" t="n">
        <x:v>4314902</x:v>
      </x:c>
      <x:c r="E12" s="111" t="str">
        <x:v>A+</x:v>
      </x:c>
      <x:c r="F12" s="51" t="str">
        <x:v>A+</x:v>
      </x:c>
    </x:row>
    <x:row r="13">
      <x:c r="A13" s="50" t="str">
        <x:v>GO</x:v>
      </x:c>
      <x:c r="B13" s="111" t="str">
        <x:v>GO</x:v>
      </x:c>
      <x:c r="C13" s="111" t="str">
        <x:v>GOIANIA</x:v>
      </x:c>
      <x:c r="D13" s="111" t="n">
        <x:v>5208707</x:v>
      </x:c>
      <x:c r="E13" s="111" t="str">
        <x:v>A+</x:v>
      </x:c>
      <x:c r="F13" s="51" t="str">
        <x:v>A+</x:v>
      </x:c>
    </x:row>
    <x:row r="14">
      <x:c r="A14" s="50" t="str">
        <x:v>SP</x:v>
      </x:c>
      <x:c r="B14" s="111" t="str">
        <x:v>SPM</x:v>
      </x:c>
      <x:c r="C14" s="111" t="str">
        <x:v>GUARULHOS</x:v>
      </x:c>
      <x:c r="D14" s="111" t="n">
        <x:v>3518800</x:v>
      </x:c>
      <x:c r="E14" s="111" t="str">
        <x:v>A+</x:v>
      </x:c>
      <x:c r="F14" s="51" t="str">
        <x:v>A+</x:v>
      </x:c>
    </x:row>
    <x:row r="15">
      <x:c r="A15" s="50" t="str">
        <x:v>SP</x:v>
      </x:c>
      <x:c r="B15" s="111" t="str">
        <x:v>SPI</x:v>
      </x:c>
      <x:c r="C15" s="111" t="str">
        <x:v>CAMPINAS</x:v>
      </x:c>
      <x:c r="D15" s="111" t="n">
        <x:v>3509502</x:v>
      </x:c>
      <x:c r="E15" s="111" t="str">
        <x:v>A+</x:v>
      </x:c>
      <x:c r="F15" s="51" t="str">
        <x:v>A+</x:v>
      </x:c>
    </x:row>
    <x:row r="16">
      <x:c r="A16" s="50" t="str">
        <x:v>PE</x:v>
      </x:c>
      <x:c r="B16" s="111" t="str">
        <x:v>PE</x:v>
      </x:c>
      <x:c r="C16" s="111" t="str">
        <x:v>RECIFE</x:v>
      </x:c>
      <x:c r="D16" s="111" t="n">
        <x:v>2611606</x:v>
      </x:c>
      <x:c r="E16" s="111" t="str">
        <x:v>A+</x:v>
      </x:c>
      <x:c r="F16" s="51" t="str">
        <x:v>A+</x:v>
      </x:c>
    </x:row>
    <x:row r="17">
      <x:c r="A17" s="50" t="str">
        <x:v>AM</x:v>
      </x:c>
      <x:c r="B17" s="111" t="str">
        <x:v>AM</x:v>
      </x:c>
      <x:c r="C17" s="111" t="str">
        <x:v>MANAUS</x:v>
      </x:c>
      <x:c r="D17" s="111" t="n">
        <x:v>1302603</x:v>
      </x:c>
      <x:c r="E17" s="111" t="str">
        <x:v>A+</x:v>
      </x:c>
      <x:c r="F17" s="51" t="str">
        <x:v>A+</x:v>
      </x:c>
    </x:row>
    <x:row r="18">
      <x:c r="A18" s="50" t="str">
        <x:v>SP</x:v>
      </x:c>
      <x:c r="B18" s="111" t="str">
        <x:v>SPM</x:v>
      </x:c>
      <x:c r="C18" s="111" t="str">
        <x:v>SAO BERNARDO DO CAMPO</x:v>
      </x:c>
      <x:c r="D18" s="111" t="n">
        <x:v>3548708</x:v>
      </x:c>
      <x:c r="E18" s="111" t="str">
        <x:v>A+</x:v>
      </x:c>
      <x:c r="F18" s="51" t="str">
        <x:v>A+</x:v>
      </x:c>
    </x:row>
    <x:row r="19">
      <x:c r="A19" s="50" t="str">
        <x:v>SP</x:v>
      </x:c>
      <x:c r="B19" s="111" t="str">
        <x:v>SPI</x:v>
      </x:c>
      <x:c r="C19" s="111" t="str">
        <x:v>RIBEIRAO PRETO</x:v>
      </x:c>
      <x:c r="D19" s="111" t="n">
        <x:v>3543402</x:v>
      </x:c>
      <x:c r="E19" s="111" t="str">
        <x:v>A+</x:v>
      </x:c>
      <x:c r="F19" s="51" t="str">
        <x:v>A+</x:v>
      </x:c>
    </x:row>
    <x:row r="20">
      <x:c r="A20" s="50" t="str">
        <x:v>SP</x:v>
      </x:c>
      <x:c r="B20" s="111" t="str">
        <x:v>SPM</x:v>
      </x:c>
      <x:c r="C20" s="111" t="str">
        <x:v>SANTO ANDRE</x:v>
      </x:c>
      <x:c r="D20" s="111" t="n">
        <x:v>3547809</x:v>
      </x:c>
      <x:c r="E20" s="111" t="str">
        <x:v>A+</x:v>
      </x:c>
      <x:c r="F20" s="51" t="str">
        <x:v>A+</x:v>
      </x:c>
    </x:row>
    <x:row r="21">
      <x:c r="A21" s="50" t="str">
        <x:v>MS</x:v>
      </x:c>
      <x:c r="B21" s="111" t="str">
        <x:v>MS</x:v>
      </x:c>
      <x:c r="C21" s="111" t="str">
        <x:v>CAMPO GRANDE</x:v>
      </x:c>
      <x:c r="D21" s="111" t="n">
        <x:v>5002704</x:v>
      </x:c>
      <x:c r="E21" s="111" t="str">
        <x:v>A+</x:v>
      </x:c>
      <x:c r="F21" s="51" t="str">
        <x:v>A</x:v>
      </x:c>
    </x:row>
    <x:row r="22">
      <x:c r="A22" s="50" t="str">
        <x:v>SP</x:v>
      </x:c>
      <x:c r="B22" s="111" t="str">
        <x:v>SPM</x:v>
      </x:c>
      <x:c r="C22" s="111" t="str">
        <x:v>OSASCO</x:v>
      </x:c>
      <x:c r="D22" s="111" t="n">
        <x:v>3534401</x:v>
      </x:c>
      <x:c r="E22" s="111" t="str">
        <x:v>A+</x:v>
      </x:c>
      <x:c r="F22" s="51" t="str">
        <x:v>A+</x:v>
      </x:c>
    </x:row>
    <x:row r="23">
      <x:c r="A23" s="50" t="str">
        <x:v>PA</x:v>
      </x:c>
      <x:c r="B23" s="111" t="str">
        <x:v>PA</x:v>
      </x:c>
      <x:c r="C23" s="111" t="str">
        <x:v>BELEM</x:v>
      </x:c>
      <x:c r="D23" s="111" t="n">
        <x:v>1501402</x:v>
      </x:c>
      <x:c r="E23" s="111" t="str">
        <x:v>A+</x:v>
      </x:c>
      <x:c r="F23" s="51" t="str">
        <x:v>A</x:v>
      </x:c>
    </x:row>
    <x:row r="24">
      <x:c r="A24" s="50" t="str">
        <x:v>SP</x:v>
      </x:c>
      <x:c r="B24" s="111" t="str">
        <x:v>SPI</x:v>
      </x:c>
      <x:c r="C24" s="111" t="str">
        <x:v>FRANCA</x:v>
      </x:c>
      <x:c r="D24" s="111" t="n">
        <x:v>3516200</x:v>
      </x:c>
      <x:c r="E24" s="111" t="str">
        <x:v>A+</x:v>
      </x:c>
      <x:c r="F24" s="51" t="str">
        <x:v>A+</x:v>
      </x:c>
    </x:row>
    <x:row r="25">
      <x:c r="A25" s="50" t="str">
        <x:v>MG</x:v>
      </x:c>
      <x:c r="B25" s="111" t="str">
        <x:v>MG</x:v>
      </x:c>
      <x:c r="C25" s="111" t="str">
        <x:v>UBERLANDIA</x:v>
      </x:c>
      <x:c r="D25" s="111" t="n">
        <x:v>3170206</x:v>
      </x:c>
      <x:c r="E25" s="111" t="str">
        <x:v>A+</x:v>
      </x:c>
      <x:c r="F25" s="51" t="str">
        <x:v>A</x:v>
      </x:c>
    </x:row>
    <x:row r="26">
      <x:c r="A26" s="50" t="str">
        <x:v>SP</x:v>
      </x:c>
      <x:c r="B26" s="111" t="str">
        <x:v>SPI</x:v>
      </x:c>
      <x:c r="C26" s="111" t="str">
        <x:v>SAO JOSE DOS CAMPOS</x:v>
      </x:c>
      <x:c r="D26" s="111" t="n">
        <x:v>3549904</x:v>
      </x:c>
      <x:c r="E26" s="111" t="str">
        <x:v>A+</x:v>
      </x:c>
      <x:c r="F26" s="51" t="str">
        <x:v>A</x:v>
      </x:c>
    </x:row>
    <x:row r="27">
      <x:c r="A27" s="50" t="str">
        <x:v>SP</x:v>
      </x:c>
      <x:c r="B27" s="111" t="str">
        <x:v>SPI</x:v>
      </x:c>
      <x:c r="C27" s="111" t="str">
        <x:v>SOROCABA</x:v>
      </x:c>
      <x:c r="D27" s="111" t="n">
        <x:v>3552205</x:v>
      </x:c>
      <x:c r="E27" s="111" t="str">
        <x:v>A+</x:v>
      </x:c>
      <x:c r="F27" s="51" t="str">
        <x:v>A</x:v>
      </x:c>
    </x:row>
    <x:row r="28">
      <x:c r="A28" s="50" t="str">
        <x:v>SC</x:v>
      </x:c>
      <x:c r="B28" s="111" t="str">
        <x:v>SC</x:v>
      </x:c>
      <x:c r="C28" s="111" t="str">
        <x:v>FLORIANOPOLIS</x:v>
      </x:c>
      <x:c r="D28" s="111" t="n">
        <x:v>4205407</x:v>
      </x:c>
      <x:c r="E28" s="111" t="str">
        <x:v>A+</x:v>
      </x:c>
      <x:c r="F28" s="51" t="str">
        <x:v>A+</x:v>
      </x:c>
    </x:row>
    <x:row r="29">
      <x:c r="A29" s="50" t="str">
        <x:v>MG</x:v>
      </x:c>
      <x:c r="B29" s="111" t="str">
        <x:v>MG</x:v>
      </x:c>
      <x:c r="C29" s="111" t="str">
        <x:v>CONTAGEM</x:v>
      </x:c>
      <x:c r="D29" s="111" t="n">
        <x:v>3118601</x:v>
      </x:c>
      <x:c r="E29" s="111" t="str">
        <x:v>A+</x:v>
      </x:c>
      <x:c r="F29" s="51" t="str">
        <x:v>A</x:v>
      </x:c>
    </x:row>
    <x:row r="30">
      <x:c r="A30" s="50" t="str">
        <x:v>SP</x:v>
      </x:c>
      <x:c r="B30" s="111" t="str">
        <x:v>SPI</x:v>
      </x:c>
      <x:c r="C30" s="111" t="str">
        <x:v>JUNDIAI</x:v>
      </x:c>
      <x:c r="D30" s="111" t="n">
        <x:v>3525904</x:v>
      </x:c>
      <x:c r="E30" s="111" t="str">
        <x:v>A+</x:v>
      </x:c>
      <x:c r="F30" s="51" t="str">
        <x:v>A+</x:v>
      </x:c>
    </x:row>
    <x:row r="31">
      <x:c r="A31" s="50" t="str">
        <x:v>SP</x:v>
      </x:c>
      <x:c r="B31" s="111" t="str">
        <x:v>SPI</x:v>
      </x:c>
      <x:c r="C31" s="111" t="str">
        <x:v>SAO JOSE DO RIO PRETO</x:v>
      </x:c>
      <x:c r="D31" s="111" t="n">
        <x:v>3549805</x:v>
      </x:c>
      <x:c r="E31" s="111" t="str">
        <x:v>A+</x:v>
      </x:c>
      <x:c r="F31" s="51" t="str">
        <x:v>A</x:v>
      </x:c>
    </x:row>
    <x:row r="32">
      <x:c r="A32" s="50" t="str">
        <x:v>SC</x:v>
      </x:c>
      <x:c r="B32" s="111" t="str">
        <x:v>SC</x:v>
      </x:c>
      <x:c r="C32" s="111" t="str">
        <x:v>JOINVILLE</x:v>
      </x:c>
      <x:c r="D32" s="111" t="n">
        <x:v>4209102</x:v>
      </x:c>
      <x:c r="E32" s="111" t="str">
        <x:v>A</x:v>
      </x:c>
      <x:c r="F32" s="51" t="str">
        <x:v>A</x:v>
      </x:c>
    </x:row>
    <x:row r="33">
      <x:c r="A33" s="50" t="str">
        <x:v>RJ</x:v>
      </x:c>
      <x:c r="B33" s="111" t="str">
        <x:v>RJ</x:v>
      </x:c>
      <x:c r="C33" s="111" t="str">
        <x:v>NITEROI</x:v>
      </x:c>
      <x:c r="D33" s="111" t="n">
        <x:v>3303302</x:v>
      </x:c>
      <x:c r="E33" s="111" t="str">
        <x:v>A</x:v>
      </x:c>
      <x:c r="F33" s="51" t="str">
        <x:v>A</x:v>
      </x:c>
    </x:row>
    <x:row r="34">
      <x:c r="A34" s="50" t="str">
        <x:v>MG</x:v>
      </x:c>
      <x:c r="B34" s="111" t="str">
        <x:v>MG</x:v>
      </x:c>
      <x:c r="C34" s="111" t="str">
        <x:v>JUIZ DE FORA</x:v>
      </x:c>
      <x:c r="D34" s="111" t="n">
        <x:v>3136702</x:v>
      </x:c>
      <x:c r="E34" s="111" t="str">
        <x:v>A</x:v>
      </x:c>
      <x:c r="F34" s="51" t="str">
        <x:v>A</x:v>
      </x:c>
    </x:row>
    <x:row r="35">
      <x:c r="A35" s="50" t="str">
        <x:v>PR</x:v>
      </x:c>
      <x:c r="B35" s="111" t="str">
        <x:v>PR</x:v>
      </x:c>
      <x:c r="C35" s="111" t="str">
        <x:v>LONDRINA</x:v>
      </x:c>
      <x:c r="D35" s="111" t="n">
        <x:v>4113700</x:v>
      </x:c>
      <x:c r="E35" s="111" t="str">
        <x:v>A</x:v>
      </x:c>
      <x:c r="F35" s="51" t="str">
        <x:v>A</x:v>
      </x:c>
    </x:row>
    <x:row r="36">
      <x:c r="A36" s="50" t="str">
        <x:v>MA</x:v>
      </x:c>
      <x:c r="B36" s="111" t="str">
        <x:v>MA</x:v>
      </x:c>
      <x:c r="C36" s="111" t="str">
        <x:v>SAO LUIS</x:v>
      </x:c>
      <x:c r="D36" s="111" t="n">
        <x:v>2111300</x:v>
      </x:c>
      <x:c r="E36" s="111" t="str">
        <x:v>A</x:v>
      </x:c>
      <x:c r="F36" s="51" t="str">
        <x:v>A</x:v>
      </x:c>
    </x:row>
    <x:row r="37">
      <x:c r="A37" s="50" t="str">
        <x:v>PB</x:v>
      </x:c>
      <x:c r="B37" s="111" t="str">
        <x:v>PB</x:v>
      </x:c>
      <x:c r="C37" s="111" t="str">
        <x:v>JOAO PESSOA</x:v>
      </x:c>
      <x:c r="D37" s="111" t="n">
        <x:v>2507507</x:v>
      </x:c>
      <x:c r="E37" s="111" t="str">
        <x:v>A</x:v>
      </x:c>
      <x:c r="F37" s="51" t="str">
        <x:v>A</x:v>
      </x:c>
    </x:row>
    <x:row r="38">
      <x:c r="A38" s="50" t="str">
        <x:v>RJ</x:v>
      </x:c>
      <x:c r="B38" s="111" t="str">
        <x:v>RJ</x:v>
      </x:c>
      <x:c r="C38" s="111" t="str">
        <x:v>SAO GONCALO</x:v>
      </x:c>
      <x:c r="D38" s="111" t="n">
        <x:v>3304904</x:v>
      </x:c>
      <x:c r="E38" s="111" t="str">
        <x:v>A</x:v>
      </x:c>
      <x:c r="F38" s="51" t="str">
        <x:v>A</x:v>
      </x:c>
    </x:row>
    <x:row r="39">
      <x:c r="A39" s="50" t="str">
        <x:v>SP</x:v>
      </x:c>
      <x:c r="B39" s="111" t="str">
        <x:v>SPM</x:v>
      </x:c>
      <x:c r="C39" s="111" t="str">
        <x:v>SANTOS</x:v>
      </x:c>
      <x:c r="D39" s="111" t="n">
        <x:v>3548500</x:v>
      </x:c>
      <x:c r="E39" s="111" t="str">
        <x:v>A</x:v>
      </x:c>
      <x:c r="F39" s="51" t="str">
        <x:v>A</x:v>
      </x:c>
    </x:row>
    <x:row r="40">
      <x:c r="A40" s="50" t="str">
        <x:v>RN</x:v>
      </x:c>
      <x:c r="B40" s="111" t="str">
        <x:v>RN</x:v>
      </x:c>
      <x:c r="C40" s="111" t="str">
        <x:v>NATAL</x:v>
      </x:c>
      <x:c r="D40" s="111" t="n">
        <x:v>2408102</x:v>
      </x:c>
      <x:c r="E40" s="111" t="str">
        <x:v>A</x:v>
      </x:c>
      <x:c r="F40" s="51" t="str">
        <x:v>A</x:v>
      </x:c>
    </x:row>
    <x:row r="41">
      <x:c r="A41" s="50" t="str">
        <x:v>AL</x:v>
      </x:c>
      <x:c r="B41" s="111" t="str">
        <x:v>AL</x:v>
      </x:c>
      <x:c r="C41" s="111" t="str">
        <x:v>MACEIO</x:v>
      </x:c>
      <x:c r="D41" s="111" t="n">
        <x:v>2704302</x:v>
      </x:c>
      <x:c r="E41" s="111" t="str">
        <x:v>A</x:v>
      </x:c>
      <x:c r="F41" s="51" t="str">
        <x:v>A</x:v>
      </x:c>
    </x:row>
    <x:row r="42">
      <x:c r="A42" s="50" t="str">
        <x:v>SP</x:v>
      </x:c>
      <x:c r="B42" s="111" t="str">
        <x:v>SPM</x:v>
      </x:c>
      <x:c r="C42" s="111" t="str">
        <x:v>DIADEMA</x:v>
      </x:c>
      <x:c r="D42" s="111" t="n">
        <x:v>3513801</x:v>
      </x:c>
      <x:c r="E42" s="111" t="str">
        <x:v>A</x:v>
      </x:c>
      <x:c r="F42" s="51" t="str">
        <x:v>A+</x:v>
      </x:c>
    </x:row>
    <x:row r="43">
      <x:c r="A43" s="50" t="str">
        <x:v>RJ</x:v>
      </x:c>
      <x:c r="B43" s="111" t="str">
        <x:v>RJ</x:v>
      </x:c>
      <x:c r="C43" s="111" t="str">
        <x:v>DUQUE DE CAXIAS</x:v>
      </x:c>
      <x:c r="D43" s="111" t="n">
        <x:v>3301702</x:v>
      </x:c>
      <x:c r="E43" s="111" t="str">
        <x:v>A</x:v>
      </x:c>
      <x:c r="F43" s="51" t="str">
        <x:v>A</x:v>
      </x:c>
    </x:row>
    <x:row r="44">
      <x:c r="A44" s="50" t="str">
        <x:v>SP</x:v>
      </x:c>
      <x:c r="B44" s="111" t="str">
        <x:v>SPM</x:v>
      </x:c>
      <x:c r="C44" s="111" t="str">
        <x:v>CARAPICUIBA</x:v>
      </x:c>
      <x:c r="D44" s="111" t="n">
        <x:v>3510609</x:v>
      </x:c>
      <x:c r="E44" s="111" t="str">
        <x:v>A</x:v>
      </x:c>
      <x:c r="F44" s="51" t="str">
        <x:v>A</x:v>
      </x:c>
    </x:row>
    <x:row r="45">
      <x:c r="A45" s="50" t="str">
        <x:v>ES</x:v>
      </x:c>
      <x:c r="B45" s="111" t="str">
        <x:v>ES</x:v>
      </x:c>
      <x:c r="C45" s="111" t="str">
        <x:v>VITORIA</x:v>
      </x:c>
      <x:c r="D45" s="111" t="n">
        <x:v>3205309</x:v>
      </x:c>
      <x:c r="E45" s="111" t="str">
        <x:v>A</x:v>
      </x:c>
      <x:c r="F45" s="51" t="str">
        <x:v>A</x:v>
      </x:c>
    </x:row>
    <x:row r="46">
      <x:c r="A46" s="50" t="str">
        <x:v>RJ</x:v>
      </x:c>
      <x:c r="B46" s="111" t="str">
        <x:v>RJ</x:v>
      </x:c>
      <x:c r="C46" s="111" t="str">
        <x:v>NOVA IGUACU</x:v>
      </x:c>
      <x:c r="D46" s="111" t="n">
        <x:v>3303500</x:v>
      </x:c>
      <x:c r="E46" s="111" t="str">
        <x:v>A</x:v>
      </x:c>
      <x:c r="F46" s="51" t="str">
        <x:v>A</x:v>
      </x:c>
    </x:row>
    <x:row r="47">
      <x:c r="A47" s="50" t="str">
        <x:v>PR</x:v>
      </x:c>
      <x:c r="B47" s="111" t="str">
        <x:v>PR</x:v>
      </x:c>
      <x:c r="C47" s="111" t="str">
        <x:v>MARINGA</x:v>
      </x:c>
      <x:c r="D47" s="111" t="n">
        <x:v>4115200</x:v>
      </x:c>
      <x:c r="E47" s="111" t="str">
        <x:v>A</x:v>
      </x:c>
      <x:c r="F47" s="51" t="str">
        <x:v>A</x:v>
      </x:c>
    </x:row>
    <x:row r="48">
      <x:c r="A48" s="50" t="str">
        <x:v>MT</x:v>
      </x:c>
      <x:c r="B48" s="111" t="str">
        <x:v>MT</x:v>
      </x:c>
      <x:c r="C48" s="111" t="str">
        <x:v>CUIABA</x:v>
      </x:c>
      <x:c r="D48" s="111" t="n">
        <x:v>5103403</x:v>
      </x:c>
      <x:c r="E48" s="111" t="str">
        <x:v>A</x:v>
      </x:c>
      <x:c r="F48" s="51" t="str">
        <x:v>A</x:v>
      </x:c>
    </x:row>
    <x:row r="49">
      <x:c r="A49" s="50" t="str">
        <x:v>ES</x:v>
      </x:c>
      <x:c r="B49" s="111" t="str">
        <x:v>ES</x:v>
      </x:c>
      <x:c r="C49" s="111" t="str">
        <x:v>VILA VELHA</x:v>
      </x:c>
      <x:c r="D49" s="111" t="n">
        <x:v>3205200</x:v>
      </x:c>
      <x:c r="E49" s="111" t="str">
        <x:v>A</x:v>
      </x:c>
      <x:c r="F49" s="51" t="str">
        <x:v>A</x:v>
      </x:c>
    </x:row>
    <x:row r="50">
      <x:c r="A50" s="50" t="str">
        <x:v>SC</x:v>
      </x:c>
      <x:c r="B50" s="111" t="str">
        <x:v>SC</x:v>
      </x:c>
      <x:c r="C50" s="111" t="str">
        <x:v>BLUMENAU</x:v>
      </x:c>
      <x:c r="D50" s="111" t="n">
        <x:v>4202404</x:v>
      </x:c>
      <x:c r="E50" s="111" t="str">
        <x:v>A</x:v>
      </x:c>
      <x:c r="F50" s="51" t="str">
        <x:v>A</x:v>
      </x:c>
    </x:row>
    <x:row r="51">
      <x:c r="A51" s="50" t="str">
        <x:v>RS</x:v>
      </x:c>
      <x:c r="B51" s="111" t="str">
        <x:v>RS</x:v>
      </x:c>
      <x:c r="C51" s="111" t="str">
        <x:v>CAXIAS DO SUL</x:v>
      </x:c>
      <x:c r="D51" s="111" t="n">
        <x:v>4305108</x:v>
      </x:c>
      <x:c r="E51" s="111" t="str">
        <x:v>A</x:v>
      </x:c>
      <x:c r="F51" s="51" t="str">
        <x:v>A</x:v>
      </x:c>
    </x:row>
    <x:row r="52">
      <x:c r="A52" s="50" t="str">
        <x:v>PE</x:v>
      </x:c>
      <x:c r="B52" s="111" t="str">
        <x:v>PE</x:v>
      </x:c>
      <x:c r="C52" s="111" t="str">
        <x:v>JABOATAO DOS GUARARAPES</x:v>
      </x:c>
      <x:c r="D52" s="111" t="n">
        <x:v>2607901</x:v>
      </x:c>
      <x:c r="E52" s="111" t="str">
        <x:v>A</x:v>
      </x:c>
      <x:c r="F52" s="51" t="str">
        <x:v>A</x:v>
      </x:c>
    </x:row>
    <x:row r="53">
      <x:c r="A53" s="50" t="str">
        <x:v>ES</x:v>
      </x:c>
      <x:c r="B53" s="111" t="str">
        <x:v>ES</x:v>
      </x:c>
      <x:c r="C53" s="111" t="str">
        <x:v>SERRA</x:v>
      </x:c>
      <x:c r="D53" s="111" t="n">
        <x:v>3205002</x:v>
      </x:c>
      <x:c r="E53" s="111" t="str">
        <x:v>A</x:v>
      </x:c>
      <x:c r="F53" s="51" t="str">
        <x:v>A</x:v>
      </x:c>
    </x:row>
    <x:row r="54">
      <x:c r="A54" s="50" t="str">
        <x:v>SE</x:v>
      </x:c>
      <x:c r="B54" s="111" t="str">
        <x:v>SE</x:v>
      </x:c>
      <x:c r="C54" s="111" t="str">
        <x:v>ARACAJU</x:v>
      </x:c>
      <x:c r="D54" s="111" t="n">
        <x:v>2800308</x:v>
      </x:c>
      <x:c r="E54" s="111" t="str">
        <x:v>A</x:v>
      </x:c>
      <x:c r="F54" s="51" t="str">
        <x:v>A</x:v>
      </x:c>
    </x:row>
    <x:row r="55">
      <x:c r="A55" s="50" t="str">
        <x:v>SP</x:v>
      </x:c>
      <x:c r="B55" s="111" t="str">
        <x:v>SPI</x:v>
      </x:c>
      <x:c r="C55" s="111" t="str">
        <x:v>BAURU</x:v>
      </x:c>
      <x:c r="D55" s="111" t="n">
        <x:v>3506003</x:v>
      </x:c>
      <x:c r="E55" s="111" t="str">
        <x:v>A</x:v>
      </x:c>
      <x:c r="F55" s="51" t="str">
        <x:v>A</x:v>
      </x:c>
    </x:row>
    <x:row r="56">
      <x:c r="A56" s="50" t="str">
        <x:v>SP</x:v>
      </x:c>
      <x:c r="B56" s="111" t="str">
        <x:v>SPM</x:v>
      </x:c>
      <x:c r="C56" s="111" t="str">
        <x:v>BARUERI</x:v>
      </x:c>
      <x:c r="D56" s="111" t="n">
        <x:v>3505708</x:v>
      </x:c>
      <x:c r="E56" s="111" t="str">
        <x:v>A</x:v>
      </x:c>
      <x:c r="F56" s="51" t="str">
        <x:v>A</x:v>
      </x:c>
    </x:row>
    <x:row r="57">
      <x:c r="A57" s="50" t="str">
        <x:v>PI</x:v>
      </x:c>
      <x:c r="B57" s="111" t="str">
        <x:v>PI</x:v>
      </x:c>
      <x:c r="C57" s="111" t="str">
        <x:v>TERESINA</x:v>
      </x:c>
      <x:c r="D57" s="111" t="n">
        <x:v>2211001</x:v>
      </x:c>
      <x:c r="E57" s="111" t="str">
        <x:v>A</x:v>
      </x:c>
      <x:c r="F57" s="51" t="str">
        <x:v>A</x:v>
      </x:c>
    </x:row>
    <x:row r="58">
      <x:c r="A58" s="50" t="str">
        <x:v>SP</x:v>
      </x:c>
      <x:c r="B58" s="111" t="str">
        <x:v>SPI</x:v>
      </x:c>
      <x:c r="C58" s="111" t="str">
        <x:v>PIRACICABA</x:v>
      </x:c>
      <x:c r="D58" s="111" t="n">
        <x:v>3538709</x:v>
      </x:c>
      <x:c r="E58" s="111" t="str">
        <x:v>A</x:v>
      </x:c>
      <x:c r="F58" s="51" t="str">
        <x:v>A</x:v>
      </x:c>
    </x:row>
    <x:row r="59">
      <x:c r="A59" s="50" t="str">
        <x:v>GO</x:v>
      </x:c>
      <x:c r="B59" s="111" t="str">
        <x:v>GO</x:v>
      </x:c>
      <x:c r="C59" s="111" t="str">
        <x:v>APARECIDA DE GOIANIA</x:v>
      </x:c>
      <x:c r="D59" s="111" t="n">
        <x:v>5201405</x:v>
      </x:c>
      <x:c r="E59" s="111" t="str">
        <x:v>A</x:v>
      </x:c>
      <x:c r="F59" s="51" t="str">
        <x:v>A</x:v>
      </x:c>
    </x:row>
    <x:row r="60">
      <x:c r="A60" s="50" t="str">
        <x:v>SP</x:v>
      </x:c>
      <x:c r="B60" s="111" t="str">
        <x:v>SPM</x:v>
      </x:c>
      <x:c r="C60" s="111" t="str">
        <x:v>MOGI DAS CRUZES</x:v>
      </x:c>
      <x:c r="D60" s="111" t="n">
        <x:v>3530607</x:v>
      </x:c>
      <x:c r="E60" s="111" t="str">
        <x:v>A</x:v>
      </x:c>
      <x:c r="F60" s="51" t="str">
        <x:v>A</x:v>
      </x:c>
    </x:row>
    <x:row r="61">
      <x:c r="A61" s="50" t="str">
        <x:v>SP</x:v>
      </x:c>
      <x:c r="B61" s="111" t="str">
        <x:v>SPM</x:v>
      </x:c>
      <x:c r="C61" s="111" t="str">
        <x:v>MAUA</x:v>
      </x:c>
      <x:c r="D61" s="111" t="n">
        <x:v>3529401</x:v>
      </x:c>
      <x:c r="E61" s="111" t="str">
        <x:v>A</x:v>
      </x:c>
      <x:c r="F61" s="51" t="str">
        <x:v>A</x:v>
      </x:c>
    </x:row>
    <x:row r="62">
      <x:c r="A62" s="50" t="str">
        <x:v>MG</x:v>
      </x:c>
      <x:c r="B62" s="111" t="str">
        <x:v>MG</x:v>
      </x:c>
      <x:c r="C62" s="111" t="str">
        <x:v>BETIM</x:v>
      </x:c>
      <x:c r="D62" s="111" t="n">
        <x:v>3106705</x:v>
      </x:c>
      <x:c r="E62" s="111" t="str">
        <x:v>A</x:v>
      </x:c>
      <x:c r="F62" s="51" t="str">
        <x:v>A</x:v>
      </x:c>
    </x:row>
    <x:row r="63">
      <x:c r="A63" s="50" t="str">
        <x:v>SP</x:v>
      </x:c>
      <x:c r="B63" s="111" t="str">
        <x:v>SPI</x:v>
      </x:c>
      <x:c r="C63" s="111" t="str">
        <x:v>LIMEIRA</x:v>
      </x:c>
      <x:c r="D63" s="111" t="n">
        <x:v>3526902</x:v>
      </x:c>
      <x:c r="E63" s="111" t="str">
        <x:v>A</x:v>
      </x:c>
      <x:c r="F63" s="51" t="str">
        <x:v>A</x:v>
      </x:c>
    </x:row>
    <x:row r="64">
      <x:c r="A64" s="50" t="str">
        <x:v>PR</x:v>
      </x:c>
      <x:c r="B64" s="111" t="str">
        <x:v>PR</x:v>
      </x:c>
      <x:c r="C64" s="111" t="str">
        <x:v>SAO JOSE DOS PINHAIS</x:v>
      </x:c>
      <x:c r="D64" s="111" t="n">
        <x:v>4125506</x:v>
      </x:c>
      <x:c r="E64" s="111" t="str">
        <x:v>A</x:v>
      </x:c>
      <x:c r="F64" s="51" t="str">
        <x:v>A</x:v>
      </x:c>
    </x:row>
    <x:row r="65">
      <x:c r="A65" s="50" t="str">
        <x:v>SP</x:v>
      </x:c>
      <x:c r="B65" s="111" t="str">
        <x:v>SPI</x:v>
      </x:c>
      <x:c r="C65" s="111" t="str">
        <x:v>INDAIATUBA</x:v>
      </x:c>
      <x:c r="D65" s="111" t="n">
        <x:v>3520509</x:v>
      </x:c>
      <x:c r="E65" s="111" t="str">
        <x:v>A</x:v>
      </x:c>
      <x:c r="F65" s="51" t="str">
        <x:v>A</x:v>
      </x:c>
    </x:row>
    <x:row r="66">
      <x:c r="A66" s="50" t="str">
        <x:v>SP</x:v>
      </x:c>
      <x:c r="B66" s="111" t="str">
        <x:v>SPM</x:v>
      </x:c>
      <x:c r="C66" s="111" t="str">
        <x:v>COTIA</x:v>
      </x:c>
      <x:c r="D66" s="111" t="n">
        <x:v>3513009</x:v>
      </x:c>
      <x:c r="E66" s="111" t="str">
        <x:v>A</x:v>
      </x:c>
      <x:c r="F66" s="51" t="str">
        <x:v>A</x:v>
      </x:c>
    </x:row>
    <x:row r="67">
      <x:c r="A67" s="50" t="str">
        <x:v>BA</x:v>
      </x:c>
      <x:c r="B67" s="111" t="str">
        <x:v>BA</x:v>
      </x:c>
      <x:c r="C67" s="111" t="str">
        <x:v>FEIRA DE SANTANA</x:v>
      </x:c>
      <x:c r="D67" s="111" t="n">
        <x:v>2910800</x:v>
      </x:c>
      <x:c r="E67" s="111" t="str">
        <x:v>A</x:v>
      </x:c>
      <x:c r="F67" s="51" t="str">
        <x:v>A</x:v>
      </x:c>
    </x:row>
    <x:row r="68">
      <x:c r="A68" s="50" t="str">
        <x:v>SP</x:v>
      </x:c>
      <x:c r="B68" s="111" t="str">
        <x:v>SPM</x:v>
      </x:c>
      <x:c r="C68" s="111" t="str">
        <x:v>CAJAMAR</x:v>
      </x:c>
      <x:c r="D68" s="111" t="n">
        <x:v>3509205</x:v>
      </x:c>
      <x:c r="E68" s="111" t="str">
        <x:v>A</x:v>
      </x:c>
      <x:c r="F68" s="51" t="str">
        <x:v>A</x:v>
      </x:c>
    </x:row>
    <x:row r="69">
      <x:c r="A69" s="50" t="str">
        <x:v>SP</x:v>
      </x:c>
      <x:c r="B69" s="111" t="str">
        <x:v>SPM</x:v>
      </x:c>
      <x:c r="C69" s="111" t="str">
        <x:v>TABOAO DA SERRA</x:v>
      </x:c>
      <x:c r="D69" s="111" t="n">
        <x:v>3552809</x:v>
      </x:c>
      <x:c r="E69" s="111" t="str">
        <x:v>A</x:v>
      </x:c>
      <x:c r="F69" s="51" t="str">
        <x:v>A</x:v>
      </x:c>
    </x:row>
    <x:row r="70">
      <x:c r="A70" s="50" t="str">
        <x:v>RS</x:v>
      </x:c>
      <x:c r="B70" s="111" t="str">
        <x:v>RS</x:v>
      </x:c>
      <x:c r="C70" s="111" t="str">
        <x:v>CANOAS</x:v>
      </x:c>
      <x:c r="D70" s="111" t="n">
        <x:v>4304606</x:v>
      </x:c>
      <x:c r="E70" s="111" t="str">
        <x:v>A</x:v>
      </x:c>
      <x:c r="F70" s="51" t="str">
        <x:v>A</x:v>
      </x:c>
    </x:row>
    <x:row r="71">
      <x:c r="A71" s="50" t="str">
        <x:v>SC</x:v>
      </x:c>
      <x:c r="B71" s="111" t="str">
        <x:v>SC</x:v>
      </x:c>
      <x:c r="C71" s="111" t="str">
        <x:v>SAO JOSE</x:v>
      </x:c>
      <x:c r="D71" s="111" t="n">
        <x:v>4216602</x:v>
      </x:c>
      <x:c r="E71" s="111" t="str">
        <x:v>A</x:v>
      </x:c>
      <x:c r="F71" s="51" t="str">
        <x:v>A</x:v>
      </x:c>
    </x:row>
    <x:row r="72">
      <x:c r="A72" s="50" t="str">
        <x:v>SP</x:v>
      </x:c>
      <x:c r="B72" s="111" t="str">
        <x:v>SPI</x:v>
      </x:c>
      <x:c r="C72" s="111" t="str">
        <x:v>MARILIA</x:v>
      </x:c>
      <x:c r="D72" s="111" t="n">
        <x:v>3529005</x:v>
      </x:c>
      <x:c r="E72" s="111" t="str">
        <x:v>A</x:v>
      </x:c>
      <x:c r="F72" s="51" t="str">
        <x:v>A</x:v>
      </x:c>
    </x:row>
    <x:row r="73">
      <x:c r="A73" s="50" t="str">
        <x:v>RO</x:v>
      </x:c>
      <x:c r="B73" s="111" t="str">
        <x:v>RO</x:v>
      </x:c>
      <x:c r="C73" s="111" t="str">
        <x:v>PORTO VELHO</x:v>
      </x:c>
      <x:c r="D73" s="111" t="n">
        <x:v>1100205</x:v>
      </x:c>
      <x:c r="E73" s="111" t="str">
        <x:v>A</x:v>
      </x:c>
      <x:c r="F73" s="51" t="str">
        <x:v>A</x:v>
      </x:c>
    </x:row>
    <x:row r="74">
      <x:c r="A74" s="50" t="str">
        <x:v>RJ</x:v>
      </x:c>
      <x:c r="B74" s="111" t="str">
        <x:v>RJ</x:v>
      </x:c>
      <x:c r="C74" s="111" t="str">
        <x:v>SAO JOAO DE MERITI</x:v>
      </x:c>
      <x:c r="D74" s="111" t="n">
        <x:v>3305109</x:v>
      </x:c>
      <x:c r="E74" s="111" t="str">
        <x:v>A</x:v>
      </x:c>
      <x:c r="F74" s="51" t="str">
        <x:v>A</x:v>
      </x:c>
    </x:row>
    <x:row r="75">
      <x:c r="A75" s="50" t="str">
        <x:v>MG</x:v>
      </x:c>
      <x:c r="B75" s="111" t="str">
        <x:v>MG</x:v>
      </x:c>
      <x:c r="C75" s="111" t="str">
        <x:v>DIVINOPOLIS</x:v>
      </x:c>
      <x:c r="D75" s="111" t="n">
        <x:v>3122306</x:v>
      </x:c>
      <x:c r="E75" s="111" t="str">
        <x:v>A</x:v>
      </x:c>
      <x:c r="F75" s="51" t="str">
        <x:v>A</x:v>
      </x:c>
    </x:row>
    <x:row r="76">
      <x:c r="A76" s="50" t="str">
        <x:v>SP</x:v>
      </x:c>
      <x:c r="B76" s="111" t="str">
        <x:v>SPI</x:v>
      </x:c>
      <x:c r="C76" s="111" t="str">
        <x:v>AMERICANA</x:v>
      </x:c>
      <x:c r="D76" s="111" t="n">
        <x:v>3501608</x:v>
      </x:c>
      <x:c r="E76" s="111" t="str">
        <x:v>A</x:v>
      </x:c>
      <x:c r="F76" s="51" t="str">
        <x:v>A</x:v>
      </x:c>
    </x:row>
    <x:row r="77">
      <x:c r="A77" s="50" t="str">
        <x:v>PR</x:v>
      </x:c>
      <x:c r="B77" s="111" t="str">
        <x:v>PR</x:v>
      </x:c>
      <x:c r="C77" s="111" t="str">
        <x:v>PONTA GROSSA</x:v>
      </x:c>
      <x:c r="D77" s="111" t="n">
        <x:v>4119905</x:v>
      </x:c>
      <x:c r="E77" s="111" t="str">
        <x:v>A</x:v>
      </x:c>
      <x:c r="F77" s="51" t="str">
        <x:v>A</x:v>
      </x:c>
    </x:row>
    <x:row r="78">
      <x:c r="A78" s="50" t="str">
        <x:v>PR</x:v>
      </x:c>
      <x:c r="B78" s="111" t="str">
        <x:v>PR</x:v>
      </x:c>
      <x:c r="C78" s="111" t="str">
        <x:v>CASCAVEL</x:v>
      </x:c>
      <x:c r="D78" s="111" t="n">
        <x:v>4104808</x:v>
      </x:c>
      <x:c r="E78" s="111" t="str">
        <x:v>A</x:v>
      </x:c>
      <x:c r="F78" s="51" t="str">
        <x:v>A</x:v>
      </x:c>
    </x:row>
    <x:row r="79">
      <x:c r="A79" s="50" t="str">
        <x:v>SC</x:v>
      </x:c>
      <x:c r="B79" s="111" t="str">
        <x:v>SC</x:v>
      </x:c>
      <x:c r="C79" s="111" t="str">
        <x:v>ITAJAI</x:v>
      </x:c>
      <x:c r="D79" s="111" t="n">
        <x:v>4208203</x:v>
      </x:c>
      <x:c r="E79" s="111" t="str">
        <x:v>A</x:v>
      </x:c>
      <x:c r="F79" s="51" t="str">
        <x:v>A</x:v>
      </x:c>
    </x:row>
    <x:row r="80">
      <x:c r="A80" s="50" t="str">
        <x:v>MG</x:v>
      </x:c>
      <x:c r="B80" s="111" t="str">
        <x:v>MG</x:v>
      </x:c>
      <x:c r="C80" s="111" t="str">
        <x:v>UBERABA</x:v>
      </x:c>
      <x:c r="D80" s="111" t="n">
        <x:v>3170107</x:v>
      </x:c>
      <x:c r="E80" s="111" t="str">
        <x:v>A</x:v>
      </x:c>
      <x:c r="F80" s="51" t="str">
        <x:v>A</x:v>
      </x:c>
    </x:row>
    <x:row r="81">
      <x:c r="A81" s="50" t="str">
        <x:v>SP</x:v>
      </x:c>
      <x:c r="B81" s="111" t="str">
        <x:v>SPM</x:v>
      </x:c>
      <x:c r="C81" s="111" t="str">
        <x:v>PRAIA GRANDE</x:v>
      </x:c>
      <x:c r="D81" s="111" t="n">
        <x:v>3541000</x:v>
      </x:c>
      <x:c r="E81" s="111" t="str">
        <x:v>A</x:v>
      </x:c>
      <x:c r="F81" s="51" t="str">
        <x:v>B</x:v>
      </x:c>
    </x:row>
    <x:row r="82">
      <x:c r="A82" s="50" t="str">
        <x:v>MG</x:v>
      </x:c>
      <x:c r="B82" s="111" t="str">
        <x:v>MG</x:v>
      </x:c>
      <x:c r="C82" s="111" t="str">
        <x:v>MONTES CLAROS</x:v>
      </x:c>
      <x:c r="D82" s="111" t="n">
        <x:v>3143302</x:v>
      </x:c>
      <x:c r="E82" s="111" t="str">
        <x:v>A</x:v>
      </x:c>
      <x:c r="F82" s="51" t="str">
        <x:v>B</x:v>
      </x:c>
    </x:row>
    <x:row r="83">
      <x:c r="A83" s="50" t="str">
        <x:v>RJ</x:v>
      </x:c>
      <x:c r="B83" s="111" t="str">
        <x:v>RJ</x:v>
      </x:c>
      <x:c r="C83" s="111" t="str">
        <x:v>CAMPOS DOS GOYTACAZES</x:v>
      </x:c>
      <x:c r="D83" s="111" t="n">
        <x:v>3301009</x:v>
      </x:c>
      <x:c r="E83" s="111" t="str">
        <x:v>A</x:v>
      </x:c>
      <x:c r="F83" s="51" t="str">
        <x:v>B</x:v>
      </x:c>
    </x:row>
    <x:row r="84">
      <x:c r="A84" s="50" t="str">
        <x:v>RJ</x:v>
      </x:c>
      <x:c r="B84" s="111" t="str">
        <x:v>RJ</x:v>
      </x:c>
      <x:c r="C84" s="111" t="str">
        <x:v>PETROPOLIS</x:v>
      </x:c>
      <x:c r="D84" s="111" t="n">
        <x:v>3303906</x:v>
      </x:c>
      <x:c r="E84" s="111" t="str">
        <x:v>A</x:v>
      </x:c>
      <x:c r="F84" s="51" t="str">
        <x:v>A</x:v>
      </x:c>
    </x:row>
    <x:row r="85">
      <x:c r="A85" s="50" t="str">
        <x:v>SP</x:v>
      </x:c>
      <x:c r="B85" s="111" t="str">
        <x:v>SPM</x:v>
      </x:c>
      <x:c r="C85" s="111" t="str">
        <x:v>SAO VICENTE</x:v>
      </x:c>
      <x:c r="D85" s="111" t="n">
        <x:v>3551009</x:v>
      </x:c>
      <x:c r="E85" s="111" t="str">
        <x:v>A</x:v>
      </x:c>
      <x:c r="F85" s="51" t="str">
        <x:v>A</x:v>
      </x:c>
    </x:row>
    <x:row r="86">
      <x:c r="A86" s="50" t="str">
        <x:v>SP</x:v>
      </x:c>
      <x:c r="B86" s="111" t="str">
        <x:v>SPI</x:v>
      </x:c>
      <x:c r="C86" s="111" t="str">
        <x:v>SAO CARLOS</x:v>
      </x:c>
      <x:c r="D86" s="111" t="n">
        <x:v>3548906</x:v>
      </x:c>
      <x:c r="E86" s="111" t="str">
        <x:v>A</x:v>
      </x:c>
      <x:c r="F86" s="51" t="str">
        <x:v>A</x:v>
      </x:c>
    </x:row>
    <x:row r="87">
      <x:c r="A87" s="50" t="str">
        <x:v>SP</x:v>
      </x:c>
      <x:c r="B87" s="111" t="str">
        <x:v>SPI</x:v>
      </x:c>
      <x:c r="C87" s="111" t="str">
        <x:v>TAUBATE</x:v>
      </x:c>
      <x:c r="D87" s="111" t="n">
        <x:v>3554102</x:v>
      </x:c>
      <x:c r="E87" s="111" t="str">
        <x:v>A</x:v>
      </x:c>
      <x:c r="F87" s="51" t="str">
        <x:v>A</x:v>
      </x:c>
    </x:row>
    <x:row r="88">
      <x:c r="A88" s="50" t="str">
        <x:v>SP</x:v>
      </x:c>
      <x:c r="B88" s="111" t="str">
        <x:v>SPM</x:v>
      </x:c>
      <x:c r="C88" s="111" t="str">
        <x:v>SAO CAETANO DO SUL</x:v>
      </x:c>
      <x:c r="D88" s="111" t="n">
        <x:v>3548807</x:v>
      </x:c>
      <x:c r="E88" s="111" t="str">
        <x:v>A</x:v>
      </x:c>
      <x:c r="F88" s="51" t="str">
        <x:v>A</x:v>
      </x:c>
    </x:row>
    <x:row r="89">
      <x:c r="A89" s="50" t="str">
        <x:v>RJ</x:v>
      </x:c>
      <x:c r="B89" s="111" t="str">
        <x:v>RJ</x:v>
      </x:c>
      <x:c r="C89" s="111" t="str">
        <x:v>NOVA FRIBURGO</x:v>
      </x:c>
      <x:c r="D89" s="111" t="n">
        <x:v>3303401</x:v>
      </x:c>
      <x:c r="E89" s="111" t="str">
        <x:v>A</x:v>
      </x:c>
      <x:c r="F89" s="51" t="str">
        <x:v>B</x:v>
      </x:c>
    </x:row>
    <x:row r="90">
      <x:c r="A90" s="50" t="str">
        <x:v>SP</x:v>
      </x:c>
      <x:c r="B90" s="111" t="str">
        <x:v>SPI</x:v>
      </x:c>
      <x:c r="C90" s="111" t="str">
        <x:v>PRESIDENTE PRUDENTE</x:v>
      </x:c>
      <x:c r="D90" s="111" t="n">
        <x:v>3541406</x:v>
      </x:c>
      <x:c r="E90" s="111" t="str">
        <x:v>A</x:v>
      </x:c>
      <x:c r="F90" s="51" t="str">
        <x:v>A</x:v>
      </x:c>
    </x:row>
    <x:row r="91">
      <x:c r="A91" s="50" t="str">
        <x:v>PE</x:v>
      </x:c>
      <x:c r="B91" s="111" t="str">
        <x:v>PE</x:v>
      </x:c>
      <x:c r="C91" s="111" t="str">
        <x:v>OLINDA</x:v>
      </x:c>
      <x:c r="D91" s="111" t="n">
        <x:v>2609600</x:v>
      </x:c>
      <x:c r="E91" s="111" t="str">
        <x:v>A</x:v>
      </x:c>
      <x:c r="F91" s="51" t="str">
        <x:v>B</x:v>
      </x:c>
    </x:row>
    <x:row r="92">
      <x:c r="A92" s="50" t="str">
        <x:v>ES</x:v>
      </x:c>
      <x:c r="B92" s="111" t="str">
        <x:v>ES</x:v>
      </x:c>
      <x:c r="C92" s="111" t="str">
        <x:v>CARIACICA</x:v>
      </x:c>
      <x:c r="D92" s="111" t="n">
        <x:v>3201308</x:v>
      </x:c>
      <x:c r="E92" s="111" t="str">
        <x:v>A</x:v>
      </x:c>
      <x:c r="F92" s="51" t="str">
        <x:v>B</x:v>
      </x:c>
    </x:row>
    <x:row r="93">
      <x:c r="A93" s="50" t="str">
        <x:v>RS</x:v>
      </x:c>
      <x:c r="B93" s="111" t="str">
        <x:v>RS</x:v>
      </x:c>
      <x:c r="C93" s="111" t="str">
        <x:v>NOVO HAMBURGO</x:v>
      </x:c>
      <x:c r="D93" s="111" t="n">
        <x:v>4313409</x:v>
      </x:c>
      <x:c r="E93" s="111" t="str">
        <x:v>A</x:v>
      </x:c>
      <x:c r="F93" s="51" t="str">
        <x:v>A</x:v>
      </x:c>
    </x:row>
    <x:row r="94">
      <x:c r="A94" s="50" t="str">
        <x:v>GO</x:v>
      </x:c>
      <x:c r="B94" s="111" t="str">
        <x:v>GO</x:v>
      </x:c>
      <x:c r="C94" s="111" t="str">
        <x:v>ANAPOLIS</x:v>
      </x:c>
      <x:c r="D94" s="111" t="n">
        <x:v>5201108</x:v>
      </x:c>
      <x:c r="E94" s="111" t="str">
        <x:v>A</x:v>
      </x:c>
      <x:c r="F94" s="51" t="str">
        <x:v>B</x:v>
      </x:c>
    </x:row>
    <x:row r="95">
      <x:c r="A95" s="50" t="str">
        <x:v>SP</x:v>
      </x:c>
      <x:c r="B95" s="111" t="str">
        <x:v>SPM</x:v>
      </x:c>
      <x:c r="C95" s="111" t="str">
        <x:v>SUZANO</x:v>
      </x:c>
      <x:c r="D95" s="111" t="n">
        <x:v>3552502</x:v>
      </x:c>
      <x:c r="E95" s="111" t="str">
        <x:v>A</x:v>
      </x:c>
      <x:c r="F95" s="51" t="str">
        <x:v>B</x:v>
      </x:c>
    </x:row>
    <x:row r="96">
      <x:c r="A96" s="50" t="str">
        <x:v>RJ</x:v>
      </x:c>
      <x:c r="B96" s="111" t="str">
        <x:v>RJ</x:v>
      </x:c>
      <x:c r="C96" s="111" t="str">
        <x:v>BELFORD ROXO</x:v>
      </x:c>
      <x:c r="D96" s="111" t="n">
        <x:v>3300456</x:v>
      </x:c>
      <x:c r="E96" s="111" t="str">
        <x:v>A</x:v>
      </x:c>
      <x:c r="F96" s="51" t="str">
        <x:v>B</x:v>
      </x:c>
    </x:row>
    <x:row r="97">
      <x:c r="A97" s="50" t="str">
        <x:v>SP</x:v>
      </x:c>
      <x:c r="B97" s="111" t="str">
        <x:v>SPI</x:v>
      </x:c>
      <x:c r="C97" s="111" t="str">
        <x:v>SUMARE</x:v>
      </x:c>
      <x:c r="D97" s="111" t="n">
        <x:v>3552403</x:v>
      </x:c>
      <x:c r="E97" s="111" t="str">
        <x:v>A</x:v>
      </x:c>
      <x:c r="F97" s="51" t="str">
        <x:v>A</x:v>
      </x:c>
    </x:row>
    <x:row r="98">
      <x:c r="A98" s="50" t="str">
        <x:v>RS</x:v>
      </x:c>
      <x:c r="B98" s="111" t="str">
        <x:v>RS</x:v>
      </x:c>
      <x:c r="C98" s="111" t="str">
        <x:v>PELOTAS</x:v>
      </x:c>
      <x:c r="D98" s="111" t="n">
        <x:v>4314407</x:v>
      </x:c>
      <x:c r="E98" s="111" t="str">
        <x:v>A</x:v>
      </x:c>
      <x:c r="F98" s="51" t="str">
        <x:v>A</x:v>
      </x:c>
    </x:row>
    <x:row r="99">
      <x:c r="A99" s="50" t="str">
        <x:v>MG</x:v>
      </x:c>
      <x:c r="B99" s="111" t="str">
        <x:v>SPM</x:v>
      </x:c>
      <x:c r="C99" s="111" t="str">
        <x:v>EXTREMA</x:v>
      </x:c>
      <x:c r="D99" s="111" t="n">
        <x:v>3125101</x:v>
      </x:c>
      <x:c r="E99" s="111" t="str">
        <x:v>A</x:v>
      </x:c>
      <x:c r="F99" s="51" t="str">
        <x:v>A</x:v>
      </x:c>
    </x:row>
    <x:row r="100">
      <x:c r="A100" s="50" t="str">
        <x:v>SP</x:v>
      </x:c>
      <x:c r="B100" s="111" t="str">
        <x:v>SPM</x:v>
      </x:c>
      <x:c r="C100" s="111" t="str">
        <x:v>ITAQUAQUECETUBA</x:v>
      </x:c>
      <x:c r="D100" s="111" t="n">
        <x:v>3523107</x:v>
      </x:c>
      <x:c r="E100" s="111" t="str">
        <x:v>B</x:v>
      </x:c>
      <x:c r="F100" s="51" t="str">
        <x:v>B</x:v>
      </x:c>
    </x:row>
    <x:row r="101">
      <x:c r="A101" s="50" t="str">
        <x:v>SP</x:v>
      </x:c>
      <x:c r="B101" s="111" t="str">
        <x:v>SPM</x:v>
      </x:c>
      <x:c r="C101" s="111" t="str">
        <x:v>EMBU DAS ARTES</x:v>
      </x:c>
      <x:c r="D101" s="111" t="n">
        <x:v>3515004</x:v>
      </x:c>
      <x:c r="E101" s="111" t="str">
        <x:v>B</x:v>
      </x:c>
      <x:c r="F101" s="51" t="str">
        <x:v>B</x:v>
      </x:c>
    </x:row>
    <x:row r="102">
      <x:c r="A102" s="50" t="str">
        <x:v>SP</x:v>
      </x:c>
      <x:c r="B102" s="111" t="str">
        <x:v>SPI</x:v>
      </x:c>
      <x:c r="C102" s="111" t="str">
        <x:v>ARARAQUARA</x:v>
      </x:c>
      <x:c r="D102" s="111" t="n">
        <x:v>3503208</x:v>
      </x:c>
      <x:c r="E102" s="111" t="str">
        <x:v>B</x:v>
      </x:c>
      <x:c r="F102" s="51" t="str">
        <x:v>B</x:v>
      </x:c>
    </x:row>
    <x:row r="103">
      <x:c r="A103" s="50" t="str">
        <x:v>SP</x:v>
      </x:c>
      <x:c r="B103" s="111" t="str">
        <x:v>SPM</x:v>
      </x:c>
      <x:c r="C103" s="111" t="str">
        <x:v>GUARUJA</x:v>
      </x:c>
      <x:c r="D103" s="111" t="n">
        <x:v>3518701</x:v>
      </x:c>
      <x:c r="E103" s="111" t="str">
        <x:v>B</x:v>
      </x:c>
      <x:c r="F103" s="51" t="str">
        <x:v>B</x:v>
      </x:c>
    </x:row>
    <x:row r="104">
      <x:c r="A104" s="50" t="str">
        <x:v>SP</x:v>
      </x:c>
      <x:c r="B104" s="111" t="str">
        <x:v>SPI</x:v>
      </x:c>
      <x:c r="C104" s="111" t="str">
        <x:v>HORTOLANDIA</x:v>
      </x:c>
      <x:c r="D104" s="111" t="n">
        <x:v>3519071</x:v>
      </x:c>
      <x:c r="E104" s="111" t="str">
        <x:v>B</x:v>
      </x:c>
      <x:c r="F104" s="51" t="str">
        <x:v>B</x:v>
      </x:c>
    </x:row>
    <x:row r="105">
      <x:c r="A105" s="50" t="str">
        <x:v>PA</x:v>
      </x:c>
      <x:c r="B105" s="111" t="str">
        <x:v>PA</x:v>
      </x:c>
      <x:c r="C105" s="111" t="str">
        <x:v>ANANINDEUA</x:v>
      </x:c>
      <x:c r="D105" s="111" t="n">
        <x:v>1500800</x:v>
      </x:c>
      <x:c r="E105" s="111" t="str">
        <x:v>B</x:v>
      </x:c>
      <x:c r="F105" s="51" t="str">
        <x:v>B</x:v>
      </x:c>
    </x:row>
    <x:row r="106">
      <x:c r="A106" s="50" t="str">
        <x:v>SP</x:v>
      </x:c>
      <x:c r="B106" s="111" t="str">
        <x:v>SPI</x:v>
      </x:c>
      <x:c r="C106" s="111" t="str">
        <x:v>BIRIGUI</x:v>
      </x:c>
      <x:c r="D106" s="111" t="n">
        <x:v>3506508</x:v>
      </x:c>
      <x:c r="E106" s="111" t="str">
        <x:v>B</x:v>
      </x:c>
      <x:c r="F106" s="51" t="str">
        <x:v>B</x:v>
      </x:c>
    </x:row>
    <x:row r="107">
      <x:c r="A107" s="50" t="str">
        <x:v>TO</x:v>
      </x:c>
      <x:c r="B107" s="111" t="str">
        <x:v>TO</x:v>
      </x:c>
      <x:c r="C107" s="111" t="str">
        <x:v>PALMAS</x:v>
      </x:c>
      <x:c r="D107" s="111" t="n">
        <x:v>1721000</x:v>
      </x:c>
      <x:c r="E107" s="111" t="str">
        <x:v>B</x:v>
      </x:c>
      <x:c r="F107" s="51" t="str">
        <x:v>B</x:v>
      </x:c>
    </x:row>
    <x:row r="108">
      <x:c r="A108" s="50" t="str">
        <x:v>MG</x:v>
      </x:c>
      <x:c r="B108" s="111" t="str">
        <x:v>MG</x:v>
      </x:c>
      <x:c r="C108" s="111" t="str">
        <x:v>RIBEIRAO DAS NEVES</x:v>
      </x:c>
      <x:c r="D108" s="111" t="n">
        <x:v>3154606</x:v>
      </x:c>
      <x:c r="E108" s="111" t="str">
        <x:v>B</x:v>
      </x:c>
      <x:c r="F108" s="51" t="str">
        <x:v>B</x:v>
      </x:c>
    </x:row>
    <x:row r="109">
      <x:c r="A109" s="50" t="str">
        <x:v>PB</x:v>
      </x:c>
      <x:c r="B109" s="111" t="str">
        <x:v>PB</x:v>
      </x:c>
      <x:c r="C109" s="111" t="str">
        <x:v>CAMPINA GRANDE</x:v>
      </x:c>
      <x:c r="D109" s="111" t="n">
        <x:v>2504009</x:v>
      </x:c>
      <x:c r="E109" s="111" t="str">
        <x:v>B</x:v>
      </x:c>
      <x:c r="F109" s="51" t="str">
        <x:v>B</x:v>
      </x:c>
    </x:row>
    <x:row r="110">
      <x:c r="A110" s="50" t="str">
        <x:v>MG</x:v>
      </x:c>
      <x:c r="B110" s="111" t="str">
        <x:v>MG</x:v>
      </x:c>
      <x:c r="C110" s="111" t="str">
        <x:v>PITANGUI</x:v>
      </x:c>
      <x:c r="D110" s="111" t="n">
        <x:v>3151404</x:v>
      </x:c>
      <x:c r="E110" s="111" t="str">
        <x:v>B</x:v>
      </x:c>
      <x:c r="F110" s="51" t="str">
        <x:v>B</x:v>
      </x:c>
    </x:row>
    <x:row r="111">
      <x:c r="A111" s="50" t="str">
        <x:v>RS</x:v>
      </x:c>
      <x:c r="B111" s="111" t="str">
        <x:v>RS</x:v>
      </x:c>
      <x:c r="C111" s="111" t="str">
        <x:v>SAO LEOPOLDO</x:v>
      </x:c>
      <x:c r="D111" s="111" t="n">
        <x:v>4318705</x:v>
      </x:c>
      <x:c r="E111" s="111" t="str">
        <x:v>B</x:v>
      </x:c>
      <x:c r="F111" s="51" t="str">
        <x:v>B</x:v>
      </x:c>
    </x:row>
    <x:row r="112">
      <x:c r="A112" s="50" t="str">
        <x:v>RS</x:v>
      </x:c>
      <x:c r="B112" s="111" t="str">
        <x:v>RS</x:v>
      </x:c>
      <x:c r="C112" s="111" t="str">
        <x:v>SANTA MARIA</x:v>
      </x:c>
      <x:c r="D112" s="111" t="n">
        <x:v>4316907</x:v>
      </x:c>
      <x:c r="E112" s="111" t="str">
        <x:v>B</x:v>
      </x:c>
      <x:c r="F112" s="51" t="str">
        <x:v>B</x:v>
      </x:c>
    </x:row>
    <x:row r="113">
      <x:c r="A113" s="50" t="str">
        <x:v>SP</x:v>
      </x:c>
      <x:c r="B113" s="111" t="str">
        <x:v>SPI</x:v>
      </x:c>
      <x:c r="C113" s="111" t="str">
        <x:v>JACAREI</x:v>
      </x:c>
      <x:c r="D113" s="111" t="n">
        <x:v>3524402</x:v>
      </x:c>
      <x:c r="E113" s="111" t="str">
        <x:v>B</x:v>
      </x:c>
      <x:c r="F113" s="51" t="str">
        <x:v>B</x:v>
      </x:c>
    </x:row>
    <x:row r="114">
      <x:c r="A114" s="50" t="str">
        <x:v>MG</x:v>
      </x:c>
      <x:c r="B114" s="111" t="str">
        <x:v>MG</x:v>
      </x:c>
      <x:c r="C114" s="111" t="str">
        <x:v>IPATINGA</x:v>
      </x:c>
      <x:c r="D114" s="111" t="n">
        <x:v>3131307</x:v>
      </x:c>
      <x:c r="E114" s="111" t="str">
        <x:v>B</x:v>
      </x:c>
      <x:c r="F114" s="51" t="str">
        <x:v>B</x:v>
      </x:c>
    </x:row>
    <x:row r="115">
      <x:c r="A115" s="50" t="str">
        <x:v>PR</x:v>
      </x:c>
      <x:c r="B115" s="111" t="str">
        <x:v>PR</x:v>
      </x:c>
      <x:c r="C115" s="111" t="str">
        <x:v>FOZ DO IGUACU</x:v>
      </x:c>
      <x:c r="D115" s="111" t="n">
        <x:v>4108304</x:v>
      </x:c>
      <x:c r="E115" s="111" t="str">
        <x:v>B</x:v>
      </x:c>
      <x:c r="F115" s="51" t="str">
        <x:v>B</x:v>
      </x:c>
    </x:row>
    <x:row r="116">
      <x:c r="A116" s="50" t="str">
        <x:v>SC</x:v>
      </x:c>
      <x:c r="B116" s="111" t="str">
        <x:v>SC</x:v>
      </x:c>
      <x:c r="C116" s="111" t="str">
        <x:v>CRICIUMA</x:v>
      </x:c>
      <x:c r="D116" s="111" t="n">
        <x:v>4204608</x:v>
      </x:c>
      <x:c r="E116" s="111" t="str">
        <x:v>B</x:v>
      </x:c>
      <x:c r="F116" s="51" t="str">
        <x:v>B</x:v>
      </x:c>
    </x:row>
    <x:row r="117">
      <x:c r="A117" s="50" t="str">
        <x:v>RS</x:v>
      </x:c>
      <x:c r="B117" s="111" t="str">
        <x:v>RS</x:v>
      </x:c>
      <x:c r="C117" s="111" t="str">
        <x:v>GRAVATAI</x:v>
      </x:c>
      <x:c r="D117" s="111" t="n">
        <x:v>4309209</x:v>
      </x:c>
      <x:c r="E117" s="111" t="str">
        <x:v>B</x:v>
      </x:c>
      <x:c r="F117" s="51" t="str">
        <x:v>B</x:v>
      </x:c>
    </x:row>
    <x:row r="118">
      <x:c r="A118" s="50" t="str">
        <x:v>MG</x:v>
      </x:c>
      <x:c r="B118" s="111" t="str">
        <x:v>MG</x:v>
      </x:c>
      <x:c r="C118" s="111" t="str">
        <x:v>GOVERNADOR VALADARES</x:v>
      </x:c>
      <x:c r="D118" s="111" t="n">
        <x:v>3127701</x:v>
      </x:c>
      <x:c r="E118" s="111" t="str">
        <x:v>B</x:v>
      </x:c>
      <x:c r="F118" s="51" t="str">
        <x:v>B</x:v>
      </x:c>
    </x:row>
    <x:row r="119">
      <x:c r="A119" s="50" t="str">
        <x:v>SP</x:v>
      </x:c>
      <x:c r="B119" s="111" t="str">
        <x:v>SPI</x:v>
      </x:c>
      <x:c r="C119" s="111" t="str">
        <x:v>RIO CLARO</x:v>
      </x:c>
      <x:c r="D119" s="111" t="n">
        <x:v>3543907</x:v>
      </x:c>
      <x:c r="E119" s="111" t="str">
        <x:v>B</x:v>
      </x:c>
      <x:c r="F119" s="51" t="str">
        <x:v>B</x:v>
      </x:c>
    </x:row>
    <x:row r="120">
      <x:c r="A120" s="50" t="str">
        <x:v>SP</x:v>
      </x:c>
      <x:c r="B120" s="111" t="str">
        <x:v>SPM</x:v>
      </x:c>
      <x:c r="C120" s="111" t="str">
        <x:v>ITAPECERICA DA SERRA</x:v>
      </x:c>
      <x:c r="D120" s="111" t="n">
        <x:v>3522208</x:v>
      </x:c>
      <x:c r="E120" s="111" t="str">
        <x:v>B</x:v>
      </x:c>
      <x:c r="F120" s="51" t="str">
        <x:v>A</x:v>
      </x:c>
    </x:row>
    <x:row r="121">
      <x:c r="A121" s="50" t="str">
        <x:v>RR</x:v>
      </x:c>
      <x:c r="B121" s="111" t="str">
        <x:v>RR</x:v>
      </x:c>
      <x:c r="C121" s="111" t="str">
        <x:v>BOA VISTA</x:v>
      </x:c>
      <x:c r="D121" s="111" t="n">
        <x:v>1400100</x:v>
      </x:c>
      <x:c r="E121" s="111" t="str">
        <x:v>B</x:v>
      </x:c>
      <x:c r="F121" s="51" t="str">
        <x:v>B</x:v>
      </x:c>
    </x:row>
    <x:row r="122">
      <x:c r="A122" s="50" t="str">
        <x:v>PR</x:v>
      </x:c>
      <x:c r="B122" s="111" t="str">
        <x:v>PR</x:v>
      </x:c>
      <x:c r="C122" s="111" t="str">
        <x:v>COLOMBO</x:v>
      </x:c>
      <x:c r="D122" s="111" t="n">
        <x:v>4105805</x:v>
      </x:c>
      <x:c r="E122" s="111" t="str">
        <x:v>B</x:v>
      </x:c>
      <x:c r="F122" s="51" t="str">
        <x:v>B</x:v>
      </x:c>
    </x:row>
    <x:row r="123">
      <x:c r="A123" s="50" t="str">
        <x:v>SC</x:v>
      </x:c>
      <x:c r="B123" s="111" t="str">
        <x:v>SC</x:v>
      </x:c>
      <x:c r="C123" s="111" t="str">
        <x:v>BALNEARIO CAMBORIU</x:v>
      </x:c>
      <x:c r="D123" s="111" t="n">
        <x:v>4202008</x:v>
      </x:c>
      <x:c r="E123" s="111" t="str">
        <x:v>B</x:v>
      </x:c>
      <x:c r="F123" s="51" t="str">
        <x:v>B</x:v>
      </x:c>
    </x:row>
    <x:row r="124">
      <x:c r="A124" s="50" t="str">
        <x:v>SC</x:v>
      </x:c>
      <x:c r="B124" s="111" t="str">
        <x:v>SC</x:v>
      </x:c>
      <x:c r="C124" s="111" t="str">
        <x:v>CHAPECO</x:v>
      </x:c>
      <x:c r="D124" s="111" t="n">
        <x:v>4204202</x:v>
      </x:c>
      <x:c r="E124" s="111" t="str">
        <x:v>B</x:v>
      </x:c>
      <x:c r="F124" s="51" t="str">
        <x:v>B</x:v>
      </x:c>
    </x:row>
    <x:row r="125">
      <x:c r="A125" s="50" t="str">
        <x:v>RJ</x:v>
      </x:c>
      <x:c r="B125" s="111" t="str">
        <x:v>RJ</x:v>
      </x:c>
      <x:c r="C125" s="111" t="str">
        <x:v>VOLTA REDONDA</x:v>
      </x:c>
      <x:c r="D125" s="111" t="n">
        <x:v>3306305</x:v>
      </x:c>
      <x:c r="E125" s="111" t="str">
        <x:v>B</x:v>
      </x:c>
      <x:c r="F125" s="51" t="str">
        <x:v>B</x:v>
      </x:c>
    </x:row>
    <x:row r="126">
      <x:c r="A126" s="50" t="str">
        <x:v>AP</x:v>
      </x:c>
      <x:c r="B126" s="111" t="str">
        <x:v>AP</x:v>
      </x:c>
      <x:c r="C126" s="111" t="str">
        <x:v>MACAPA</x:v>
      </x:c>
      <x:c r="D126" s="111" t="n">
        <x:v>1600303</x:v>
      </x:c>
      <x:c r="E126" s="111" t="str">
        <x:v>B</x:v>
      </x:c>
      <x:c r="F126" s="51" t="str">
        <x:v>B</x:v>
      </x:c>
    </x:row>
    <x:row r="127">
      <x:c r="A127" s="50" t="str">
        <x:v>SP</x:v>
      </x:c>
      <x:c r="B127" s="111" t="str">
        <x:v>SPI</x:v>
      </x:c>
      <x:c r="C127" s="111" t="str">
        <x:v>ARACATUBA</x:v>
      </x:c>
      <x:c r="D127" s="111" t="n">
        <x:v>3502804</x:v>
      </x:c>
      <x:c r="E127" s="111" t="str">
        <x:v>B</x:v>
      </x:c>
      <x:c r="F127" s="51" t="str">
        <x:v>B</x:v>
      </x:c>
    </x:row>
    <x:row r="128">
      <x:c r="A128" s="50" t="str">
        <x:v>RJ</x:v>
      </x:c>
      <x:c r="B128" s="111" t="str">
        <x:v>RJ</x:v>
      </x:c>
      <x:c r="C128" s="111" t="str">
        <x:v>MACAE</x:v>
      </x:c>
      <x:c r="D128" s="111" t="n">
        <x:v>3302403</x:v>
      </x:c>
      <x:c r="E128" s="111" t="str">
        <x:v>B</x:v>
      </x:c>
      <x:c r="F128" s="51" t="str">
        <x:v>B</x:v>
      </x:c>
    </x:row>
    <x:row r="129">
      <x:c r="A129" s="50" t="str">
        <x:v>BA</x:v>
      </x:c>
      <x:c r="B129" s="111" t="str">
        <x:v>BA</x:v>
      </x:c>
      <x:c r="C129" s="111" t="str">
        <x:v>VITORIA DA CONQUISTA</x:v>
      </x:c>
      <x:c r="D129" s="111" t="n">
        <x:v>2933307</x:v>
      </x:c>
      <x:c r="E129" s="111" t="str">
        <x:v>B</x:v>
      </x:c>
      <x:c r="F129" s="51" t="str">
        <x:v>B</x:v>
      </x:c>
    </x:row>
    <x:row r="130">
      <x:c r="A130" s="50" t="str">
        <x:v>SP</x:v>
      </x:c>
      <x:c r="B130" s="111" t="str">
        <x:v>SPI</x:v>
      </x:c>
      <x:c r="C130" s="111" t="str">
        <x:v>ITU</x:v>
      </x:c>
      <x:c r="D130" s="111" t="n">
        <x:v>3523909</x:v>
      </x:c>
      <x:c r="E130" s="111" t="str">
        <x:v>B</x:v>
      </x:c>
      <x:c r="F130" s="51" t="str">
        <x:v>B</x:v>
      </x:c>
    </x:row>
    <x:row r="131">
      <x:c r="A131" s="50" t="str">
        <x:v>MS</x:v>
      </x:c>
      <x:c r="B131" s="111" t="str">
        <x:v>MS</x:v>
      </x:c>
      <x:c r="C131" s="111" t="str">
        <x:v>DOURADOS</x:v>
      </x:c>
      <x:c r="D131" s="111" t="n">
        <x:v>5003702</x:v>
      </x:c>
      <x:c r="E131" s="111" t="str">
        <x:v>B</x:v>
      </x:c>
      <x:c r="F131" s="51" t="str">
        <x:v>B</x:v>
      </x:c>
    </x:row>
    <x:row r="132">
      <x:c r="A132" s="50" t="str">
        <x:v>SC</x:v>
      </x:c>
      <x:c r="B132" s="111" t="str">
        <x:v>SC</x:v>
      </x:c>
      <x:c r="C132" s="111" t="str">
        <x:v>BRUSQUE</x:v>
      </x:c>
      <x:c r="D132" s="111" t="n">
        <x:v>4202909</x:v>
      </x:c>
      <x:c r="E132" s="111" t="str">
        <x:v>B</x:v>
      </x:c>
      <x:c r="F132" s="51" t="str">
        <x:v>B</x:v>
      </x:c>
    </x:row>
    <x:row r="133">
      <x:c r="A133" s="50" t="str">
        <x:v>RS</x:v>
      </x:c>
      <x:c r="B133" s="111" t="str">
        <x:v>RS</x:v>
      </x:c>
      <x:c r="C133" s="111" t="str">
        <x:v>PASSO FUNDO</x:v>
      </x:c>
      <x:c r="D133" s="111" t="n">
        <x:v>4314100</x:v>
      </x:c>
      <x:c r="E133" s="111" t="str">
        <x:v>B</x:v>
      </x:c>
      <x:c r="F133" s="51" t="str">
        <x:v>B</x:v>
      </x:c>
    </x:row>
    <x:row r="134">
      <x:c r="A134" s="50" t="str">
        <x:v>PE</x:v>
      </x:c>
      <x:c r="B134" s="111" t="str">
        <x:v>PE</x:v>
      </x:c>
      <x:c r="C134" s="111" t="str">
        <x:v>PETROLINA</x:v>
      </x:c>
      <x:c r="D134" s="111" t="n">
        <x:v>2611101</x:v>
      </x:c>
      <x:c r="E134" s="111" t="str">
        <x:v>B</x:v>
      </x:c>
      <x:c r="F134" s="51" t="str">
        <x:v>B</x:v>
      </x:c>
    </x:row>
    <x:row r="135">
      <x:c r="A135" s="50" t="str">
        <x:v>MG</x:v>
      </x:c>
      <x:c r="B135" s="111" t="str">
        <x:v>MG</x:v>
      </x:c>
      <x:c r="C135" s="111" t="str">
        <x:v>SETE LAGOAS</x:v>
      </x:c>
      <x:c r="D135" s="111" t="n">
        <x:v>3167202</x:v>
      </x:c>
      <x:c r="E135" s="111" t="str">
        <x:v>B</x:v>
      </x:c>
      <x:c r="F135" s="51" t="str">
        <x:v>B</x:v>
      </x:c>
    </x:row>
    <x:row r="136">
      <x:c r="A136" s="50" t="str">
        <x:v>PE</x:v>
      </x:c>
      <x:c r="B136" s="111" t="str">
        <x:v>PE</x:v>
      </x:c>
      <x:c r="C136" s="111" t="str">
        <x:v>CARUARU</x:v>
      </x:c>
      <x:c r="D136" s="111" t="n">
        <x:v>2604106</x:v>
      </x:c>
      <x:c r="E136" s="111" t="str">
        <x:v>B</x:v>
      </x:c>
      <x:c r="F136" s="51" t="str">
        <x:v>B</x:v>
      </x:c>
    </x:row>
    <x:row r="137">
      <x:c r="A137" s="50" t="str">
        <x:v>SC</x:v>
      </x:c>
      <x:c r="B137" s="111" t="str">
        <x:v>SC</x:v>
      </x:c>
      <x:c r="C137" s="111" t="str">
        <x:v>PALHOCA</x:v>
      </x:c>
      <x:c r="D137" s="111" t="n">
        <x:v>4211900</x:v>
      </x:c>
      <x:c r="E137" s="111" t="str">
        <x:v>B</x:v>
      </x:c>
      <x:c r="F137" s="51" t="str">
        <x:v>B</x:v>
      </x:c>
    </x:row>
    <x:row r="138">
      <x:c r="A138" s="50" t="str">
        <x:v>SP</x:v>
      </x:c>
      <x:c r="B138" s="111" t="str">
        <x:v>SPI</x:v>
      </x:c>
      <x:c r="C138" s="111" t="str">
        <x:v>SANTA BARBARA D OESTE</x:v>
      </x:c>
      <x:c r="D138" s="111" t="n">
        <x:v>3545803</x:v>
      </x:c>
      <x:c r="E138" s="111" t="str">
        <x:v>B</x:v>
      </x:c>
      <x:c r="F138" s="51" t="str">
        <x:v>B</x:v>
      </x:c>
    </x:row>
    <x:row r="139">
      <x:c r="A139" s="50" t="str">
        <x:v>SC</x:v>
      </x:c>
      <x:c r="B139" s="111" t="str">
        <x:v>SC</x:v>
      </x:c>
      <x:c r="C139" s="111" t="str">
        <x:v>JARAGUA DO SUL</x:v>
      </x:c>
      <x:c r="D139" s="111" t="n">
        <x:v>4208906</x:v>
      </x:c>
      <x:c r="E139" s="111" t="str">
        <x:v>B</x:v>
      </x:c>
      <x:c r="F139" s="51" t="str">
        <x:v>B</x:v>
      </x:c>
    </x:row>
    <x:row r="140">
      <x:c r="A140" s="50" t="str">
        <x:v>SP</x:v>
      </x:c>
      <x:c r="B140" s="111" t="str">
        <x:v>SPI</x:v>
      </x:c>
      <x:c r="C140" s="111" t="str">
        <x:v>IBITINGA</x:v>
      </x:c>
      <x:c r="D140" s="111" t="n">
        <x:v>3519600</x:v>
      </x:c>
      <x:c r="E140" s="111" t="str">
        <x:v>B</x:v>
      </x:c>
      <x:c r="F140" s="51" t="str">
        <x:v>B</x:v>
      </x:c>
    </x:row>
    <x:row r="141">
      <x:c r="A141" s="50" t="str">
        <x:v>SP</x:v>
      </x:c>
      <x:c r="B141" s="111" t="str">
        <x:v>SPI</x:v>
      </x:c>
      <x:c r="C141" s="111" t="str">
        <x:v>ATIBAIA</x:v>
      </x:c>
      <x:c r="D141" s="111" t="n">
        <x:v>3504107</x:v>
      </x:c>
      <x:c r="E141" s="111" t="str">
        <x:v>B</x:v>
      </x:c>
      <x:c r="F141" s="51" t="str">
        <x:v>B</x:v>
      </x:c>
    </x:row>
    <x:row r="142">
      <x:c r="A142" s="50" t="str">
        <x:v>PE</x:v>
      </x:c>
      <x:c r="B142" s="111" t="str">
        <x:v>PE</x:v>
      </x:c>
      <x:c r="C142" s="111" t="str">
        <x:v>PAULISTA</x:v>
      </x:c>
      <x:c r="D142" s="111" t="n">
        <x:v>2610707</x:v>
      </x:c>
      <x:c r="E142" s="111" t="str">
        <x:v>B</x:v>
      </x:c>
      <x:c r="F142" s="51" t="str">
        <x:v>B</x:v>
      </x:c>
    </x:row>
    <x:row r="143">
      <x:c r="A143" s="50" t="str">
        <x:v>AC</x:v>
      </x:c>
      <x:c r="B143" s="111" t="str">
        <x:v>ACR</x:v>
      </x:c>
      <x:c r="C143" s="111" t="str">
        <x:v>RIO BRANCO</x:v>
      </x:c>
      <x:c r="D143" s="111" t="n">
        <x:v>1200401</x:v>
      </x:c>
      <x:c r="E143" s="111" t="str">
        <x:v>B</x:v>
      </x:c>
      <x:c r="F143" s="51" t="str">
        <x:v>B</x:v>
      </x:c>
    </x:row>
    <x:row r="144">
      <x:c r="A144" s="50" t="str">
        <x:v>SP</x:v>
      </x:c>
      <x:c r="B144" s="111" t="str">
        <x:v>SPI</x:v>
      </x:c>
      <x:c r="C144" s="111" t="str">
        <x:v>VALINHOS</x:v>
      </x:c>
      <x:c r="D144" s="111" t="n">
        <x:v>3556206</x:v>
      </x:c>
      <x:c r="E144" s="111" t="str">
        <x:v>B</x:v>
      </x:c>
      <x:c r="F144" s="51" t="str">
        <x:v>B</x:v>
      </x:c>
    </x:row>
    <x:row r="145">
      <x:c r="A145" s="50" t="str">
        <x:v>BA</x:v>
      </x:c>
      <x:c r="B145" s="111" t="str">
        <x:v>BA</x:v>
      </x:c>
      <x:c r="C145" s="111" t="str">
        <x:v>CAMACARI</x:v>
      </x:c>
      <x:c r="D145" s="111" t="n">
        <x:v>2905701</x:v>
      </x:c>
      <x:c r="E145" s="111" t="str">
        <x:v>B</x:v>
      </x:c>
      <x:c r="F145" s="51" t="str">
        <x:v>B</x:v>
      </x:c>
    </x:row>
    <x:row r="146">
      <x:c r="A146" s="50" t="str">
        <x:v>SP</x:v>
      </x:c>
      <x:c r="B146" s="111" t="str">
        <x:v>SPI</x:v>
      </x:c>
      <x:c r="C146" s="111" t="str">
        <x:v>BRAGANCA PAULISTA</x:v>
      </x:c>
      <x:c r="D146" s="111" t="n">
        <x:v>3507605</x:v>
      </x:c>
      <x:c r="E146" s="111" t="str">
        <x:v>B</x:v>
      </x:c>
      <x:c r="F146" s="51" t="str">
        <x:v>B</x:v>
      </x:c>
    </x:row>
    <x:row r="147">
      <x:c r="A147" s="50" t="str">
        <x:v>SP</x:v>
      </x:c>
      <x:c r="B147" s="111" t="str">
        <x:v>SPM</x:v>
      </x:c>
      <x:c r="C147" s="111" t="str">
        <x:v>ITAPEVI</x:v>
      </x:c>
      <x:c r="D147" s="111" t="n">
        <x:v>3522505</x:v>
      </x:c>
      <x:c r="E147" s="111" t="str">
        <x:v>B</x:v>
      </x:c>
      <x:c r="F147" s="51" t="str">
        <x:v>B</x:v>
      </x:c>
    </x:row>
    <x:row r="148">
      <x:c r="A148" s="50" t="str">
        <x:v>MG</x:v>
      </x:c>
      <x:c r="B148" s="111" t="str">
        <x:v>MG</x:v>
      </x:c>
      <x:c r="C148" s="111" t="str">
        <x:v>SANTA LUZIA</x:v>
      </x:c>
      <x:c r="D148" s="111" t="n">
        <x:v>3157807</x:v>
      </x:c>
      <x:c r="E148" s="111" t="str">
        <x:v>B</x:v>
      </x:c>
      <x:c r="F148" s="51" t="str">
        <x:v>B</x:v>
      </x:c>
    </x:row>
    <x:row r="149">
      <x:c r="A149" s="50" t="str">
        <x:v>BA</x:v>
      </x:c>
      <x:c r="B149" s="111" t="str">
        <x:v>BA</x:v>
      </x:c>
      <x:c r="C149" s="111" t="str">
        <x:v>LAURO DE FREITAS</x:v>
      </x:c>
      <x:c r="D149" s="111" t="n">
        <x:v>2919207</x:v>
      </x:c>
      <x:c r="E149" s="111" t="str">
        <x:v>B</x:v>
      </x:c>
      <x:c r="F149" s="51" t="str">
        <x:v>B</x:v>
      </x:c>
    </x:row>
    <x:row r="150">
      <x:c r="A150" s="50" t="str">
        <x:v>MG</x:v>
      </x:c>
      <x:c r="B150" s="111" t="str">
        <x:v>MG</x:v>
      </x:c>
      <x:c r="C150" s="111" t="str">
        <x:v>POCOS DE CALDAS</x:v>
      </x:c>
      <x:c r="D150" s="111" t="n">
        <x:v>3151800</x:v>
      </x:c>
      <x:c r="E150" s="111" t="str">
        <x:v>B</x:v>
      </x:c>
      <x:c r="F150" s="51" t="str">
        <x:v>B</x:v>
      </x:c>
    </x:row>
    <x:row r="151">
      <x:c r="A151" s="50" t="str">
        <x:v>MT</x:v>
      </x:c>
      <x:c r="B151" s="111" t="str">
        <x:v>MT</x:v>
      </x:c>
      <x:c r="C151" s="111" t="str">
        <x:v>VARZEA GRANDE</x:v>
      </x:c>
      <x:c r="D151" s="111" t="n">
        <x:v>5108402</x:v>
      </x:c>
      <x:c r="E151" s="111" t="str">
        <x:v>B</x:v>
      </x:c>
      <x:c r="F151" s="51" t="str">
        <x:v>B</x:v>
      </x:c>
    </x:row>
    <x:row r="152">
      <x:c r="A152" s="50" t="str">
        <x:v>GO</x:v>
      </x:c>
      <x:c r="B152" s="111" t="str">
        <x:v>GO</x:v>
      </x:c>
      <x:c r="C152" s="111" t="str">
        <x:v>RIO VERDE</x:v>
      </x:c>
      <x:c r="D152" s="111" t="n">
        <x:v>5218805</x:v>
      </x:c>
      <x:c r="E152" s="111" t="str">
        <x:v>B</x:v>
      </x:c>
      <x:c r="F152" s="51" t="str">
        <x:v>B</x:v>
      </x:c>
    </x:row>
    <x:row r="153">
      <x:c r="A153" s="50" t="str">
        <x:v>MT</x:v>
      </x:c>
      <x:c r="B153" s="111" t="str">
        <x:v>MT</x:v>
      </x:c>
      <x:c r="C153" s="111" t="str">
        <x:v>RONDONOPOLIS</x:v>
      </x:c>
      <x:c r="D153" s="111" t="n">
        <x:v>5107602</x:v>
      </x:c>
      <x:c r="E153" s="111" t="str">
        <x:v>B</x:v>
      </x:c>
      <x:c r="F153" s="51" t="str">
        <x:v>B</x:v>
      </x:c>
    </x:row>
    <x:row r="154">
      <x:c r="A154" s="50" t="str">
        <x:v>RN</x:v>
      </x:c>
      <x:c r="B154" s="111" t="str">
        <x:v>RN</x:v>
      </x:c>
      <x:c r="C154" s="111" t="str">
        <x:v>PARNAMIRIM</x:v>
      </x:c>
      <x:c r="D154" s="111" t="n">
        <x:v>2403251</x:v>
      </x:c>
      <x:c r="E154" s="111" t="str">
        <x:v>B</x:v>
      </x:c>
      <x:c r="F154" s="51" t="str">
        <x:v>B</x:v>
      </x:c>
    </x:row>
    <x:row r="155">
      <x:c r="A155" s="50" t="str">
        <x:v>PR</x:v>
      </x:c>
      <x:c r="B155" s="111" t="str">
        <x:v>PR</x:v>
      </x:c>
      <x:c r="C155" s="111" t="str">
        <x:v>PINHAIS</x:v>
      </x:c>
      <x:c r="D155" s="111" t="n">
        <x:v>4119152</x:v>
      </x:c>
      <x:c r="E155" s="111" t="str">
        <x:v>B</x:v>
      </x:c>
      <x:c r="F155" s="51" t="str">
        <x:v>B</x:v>
      </x:c>
    </x:row>
    <x:row r="156">
      <x:c r="A156" s="50" t="str">
        <x:v>RS</x:v>
      </x:c>
      <x:c r="B156" s="111" t="str">
        <x:v>RS</x:v>
      </x:c>
      <x:c r="C156" s="111" t="str">
        <x:v>VIAMAO</x:v>
      </x:c>
      <x:c r="D156" s="111" t="n">
        <x:v>4323002</x:v>
      </x:c>
      <x:c r="E156" s="111" t="str">
        <x:v>B</x:v>
      </x:c>
      <x:c r="F156" s="51" t="str">
        <x:v>B</x:v>
      </x:c>
    </x:row>
    <x:row r="157">
      <x:c r="A157" s="50" t="str">
        <x:v>SP</x:v>
      </x:c>
      <x:c r="B157" s="111" t="str">
        <x:v>SPM</x:v>
      </x:c>
      <x:c r="C157" s="111" t="str">
        <x:v>SANTANA DE PARNAIBA</x:v>
      </x:c>
      <x:c r="D157" s="111" t="n">
        <x:v>3547304</x:v>
      </x:c>
      <x:c r="E157" s="111" t="str">
        <x:v>B</x:v>
      </x:c>
      <x:c r="F157" s="51" t="str">
        <x:v>B</x:v>
      </x:c>
    </x:row>
    <x:row r="158">
      <x:c r="A158" s="50" t="str">
        <x:v>MG</x:v>
      </x:c>
      <x:c r="B158" s="111" t="str">
        <x:v>MG</x:v>
      </x:c>
      <x:c r="C158" s="111" t="str">
        <x:v>NOVA SERRANA</x:v>
      </x:c>
      <x:c r="D158" s="111" t="n">
        <x:v>3145208</x:v>
      </x:c>
      <x:c r="E158" s="111" t="str">
        <x:v>B</x:v>
      </x:c>
      <x:c r="F158" s="51" t="str">
        <x:v>B</x:v>
      </x:c>
    </x:row>
    <x:row r="159">
      <x:c r="A159" s="50" t="str">
        <x:v>RJ</x:v>
      </x:c>
      <x:c r="B159" s="111" t="str">
        <x:v>RJ</x:v>
      </x:c>
      <x:c r="C159" s="111" t="str">
        <x:v>CABO FRIO</x:v>
      </x:c>
      <x:c r="D159" s="111" t="n">
        <x:v>3300704</x:v>
      </x:c>
      <x:c r="E159" s="111" t="str">
        <x:v>B</x:v>
      </x:c>
      <x:c r="F159" s="51" t="str">
        <x:v>B</x:v>
      </x:c>
    </x:row>
    <x:row r="160">
      <x:c r="A160" s="50" t="str">
        <x:v>MG</x:v>
      </x:c>
      <x:c r="B160" s="111" t="str">
        <x:v>MG</x:v>
      </x:c>
      <x:c r="C160" s="111" t="str">
        <x:v>PATOS DE MINAS</x:v>
      </x:c>
      <x:c r="D160" s="111" t="n">
        <x:v>3148004</x:v>
      </x:c>
      <x:c r="E160" s="111" t="str">
        <x:v>B</x:v>
      </x:c>
      <x:c r="F160" s="51" t="str">
        <x:v>B</x:v>
      </x:c>
    </x:row>
    <x:row r="161">
      <x:c r="A161" s="50" t="str">
        <x:v>MG</x:v>
      </x:c>
      <x:c r="B161" s="111" t="str">
        <x:v>MG</x:v>
      </x:c>
      <x:c r="C161" s="111" t="str">
        <x:v>VARGINHA</x:v>
      </x:c>
      <x:c r="D161" s="111" t="n">
        <x:v>3170701</x:v>
      </x:c>
      <x:c r="E161" s="111" t="str">
        <x:v>B</x:v>
      </x:c>
      <x:c r="F161" s="51" t="str">
        <x:v>B</x:v>
      </x:c>
    </x:row>
    <x:row r="162">
      <x:c r="A162" s="50" t="str">
        <x:v>SP</x:v>
      </x:c>
      <x:c r="B162" s="111" t="str">
        <x:v>SPI</x:v>
      </x:c>
      <x:c r="C162" s="111" t="str">
        <x:v>VOTORANTIM</x:v>
      </x:c>
      <x:c r="D162" s="111" t="n">
        <x:v>3557006</x:v>
      </x:c>
      <x:c r="E162" s="111" t="str">
        <x:v>B</x:v>
      </x:c>
      <x:c r="F162" s="51" t="str">
        <x:v>B</x:v>
      </x:c>
    </x:row>
    <x:row r="163">
      <x:c r="A163" s="50" t="str">
        <x:v>ES</x:v>
      </x:c>
      <x:c r="B163" s="111" t="str">
        <x:v>ES</x:v>
      </x:c>
      <x:c r="C163" s="111" t="str">
        <x:v>CACHOEIRO DE ITAPEMIRIM</x:v>
      </x:c>
      <x:c r="D163" s="111" t="n">
        <x:v>3201209</x:v>
      </x:c>
      <x:c r="E163" s="111" t="str">
        <x:v>B</x:v>
      </x:c>
      <x:c r="F163" s="51" t="str">
        <x:v>B</x:v>
      </x:c>
    </x:row>
    <x:row r="164">
      <x:c r="A164" s="50" t="str">
        <x:v>MG</x:v>
      </x:c>
      <x:c r="B164" s="111" t="str">
        <x:v>MG</x:v>
      </x:c>
      <x:c r="C164" s="111" t="str">
        <x:v>POUSO ALEGRE</x:v>
      </x:c>
      <x:c r="D164" s="111" t="n">
        <x:v>3152501</x:v>
      </x:c>
      <x:c r="E164" s="111" t="str">
        <x:v>B</x:v>
      </x:c>
      <x:c r="F164" s="51" t="str">
        <x:v>B</x:v>
      </x:c>
    </x:row>
    <x:row r="165">
      <x:c r="A165" s="50" t="str">
        <x:v>RS</x:v>
      </x:c>
      <x:c r="B165" s="111" t="str">
        <x:v>RS</x:v>
      </x:c>
      <x:c r="C165" s="111" t="str">
        <x:v>RIO GRANDE</x:v>
      </x:c>
      <x:c r="D165" s="111" t="n">
        <x:v>4315602</x:v>
      </x:c>
      <x:c r="E165" s="111" t="str">
        <x:v>B</x:v>
      </x:c>
      <x:c r="F165" s="51" t="str">
        <x:v>B</x:v>
      </x:c>
    </x:row>
    <x:row r="166">
      <x:c r="A166" s="50" t="str">
        <x:v>RS</x:v>
      </x:c>
      <x:c r="B166" s="111" t="str">
        <x:v>RS</x:v>
      </x:c>
      <x:c r="C166" s="111" t="str">
        <x:v>CACHOEIRINHA</x:v>
      </x:c>
      <x:c r="D166" s="111" t="n">
        <x:v>4303103</x:v>
      </x:c>
      <x:c r="E166" s="111" t="str">
        <x:v>B</x:v>
      </x:c>
      <x:c r="F166" s="51" t="str">
        <x:v>B</x:v>
      </x:c>
    </x:row>
    <x:row r="167">
      <x:c r="A167" s="50" t="str">
        <x:v>SP</x:v>
      </x:c>
      <x:c r="B167" s="111" t="str">
        <x:v>SPI</x:v>
      </x:c>
      <x:c r="C167" s="111" t="str">
        <x:v>MOGI GUACU</x:v>
      </x:c>
      <x:c r="D167" s="111" t="n">
        <x:v>3530706</x:v>
      </x:c>
      <x:c r="E167" s="111" t="str">
        <x:v>B</x:v>
      </x:c>
      <x:c r="F167" s="51" t="str">
        <x:v>B</x:v>
      </x:c>
    </x:row>
    <x:row r="168">
      <x:c r="A168" s="50" t="str">
        <x:v>RS</x:v>
      </x:c>
      <x:c r="B168" s="111" t="str">
        <x:v>RS</x:v>
      </x:c>
      <x:c r="C168" s="111" t="str">
        <x:v>ALVORADA</x:v>
      </x:c>
      <x:c r="D168" s="111" t="n">
        <x:v>4300604</x:v>
      </x:c>
      <x:c r="E168" s="111" t="str">
        <x:v>B</x:v>
      </x:c>
      <x:c r="F168" s="51" t="str">
        <x:v>B</x:v>
      </x:c>
    </x:row>
    <x:row r="169">
      <x:c r="A169" s="50" t="str">
        <x:v>PR</x:v>
      </x:c>
      <x:c r="B169" s="111" t="str">
        <x:v>PR</x:v>
      </x:c>
      <x:c r="C169" s="111" t="str">
        <x:v>CAMPO LARGO</x:v>
      </x:c>
      <x:c r="D169" s="111" t="n">
        <x:v>4104204</x:v>
      </x:c>
      <x:c r="E169" s="111" t="str">
        <x:v>B</x:v>
      </x:c>
      <x:c r="F169" s="51" t="str">
        <x:v>B</x:v>
      </x:c>
    </x:row>
    <x:row r="170">
      <x:c r="A170" s="50" t="str">
        <x:v>SP</x:v>
      </x:c>
      <x:c r="B170" s="111" t="str">
        <x:v>SPI</x:v>
      </x:c>
      <x:c r="C170" s="111" t="str">
        <x:v>JAU</x:v>
      </x:c>
      <x:c r="D170" s="111" t="n">
        <x:v>3525300</x:v>
      </x:c>
      <x:c r="E170" s="111" t="str">
        <x:v>B</x:v>
      </x:c>
      <x:c r="F170" s="51" t="str">
        <x:v>B</x:v>
      </x:c>
    </x:row>
    <x:row r="171">
      <x:c r="A171" s="50" t="str">
        <x:v>CE</x:v>
      </x:c>
      <x:c r="B171" s="111" t="str">
        <x:v>CE</x:v>
      </x:c>
      <x:c r="C171" s="111" t="str">
        <x:v>CAUCAIA</x:v>
      </x:c>
      <x:c r="D171" s="111" t="n">
        <x:v>2303709</x:v>
      </x:c>
      <x:c r="E171" s="111" t="str">
        <x:v>B</x:v>
      </x:c>
      <x:c r="F171" s="51" t="str">
        <x:v>C</x:v>
      </x:c>
    </x:row>
    <x:row r="172">
      <x:c r="A172" s="50" t="str">
        <x:v>SP</x:v>
      </x:c>
      <x:c r="B172" s="111" t="str">
        <x:v>SPI</x:v>
      </x:c>
      <x:c r="C172" s="111" t="str">
        <x:v>TATUI</x:v>
      </x:c>
      <x:c r="D172" s="111" t="n">
        <x:v>3554003</x:v>
      </x:c>
      <x:c r="E172" s="111" t="str">
        <x:v>B</x:v>
      </x:c>
      <x:c r="F172" s="51" t="str">
        <x:v>B</x:v>
      </x:c>
    </x:row>
    <x:row r="173">
      <x:c r="A173" s="50" t="str">
        <x:v>RJ</x:v>
      </x:c>
      <x:c r="B173" s="111" t="str">
        <x:v>RJ</x:v>
      </x:c>
      <x:c r="C173" s="111" t="str">
        <x:v>MAGE</x:v>
      </x:c>
      <x:c r="D173" s="111" t="n">
        <x:v>3302502</x:v>
      </x:c>
      <x:c r="E173" s="111" t="str">
        <x:v>B</x:v>
      </x:c>
      <x:c r="F173" s="51" t="str">
        <x:v>B</x:v>
      </x:c>
    </x:row>
    <x:row r="174">
      <x:c r="A174" s="50" t="str">
        <x:v>SP</x:v>
      </x:c>
      <x:c r="B174" s="111" t="str">
        <x:v>SPI</x:v>
      </x:c>
      <x:c r="C174" s="111" t="str">
        <x:v>BOTUCATU</x:v>
      </x:c>
      <x:c r="D174" s="111" t="n">
        <x:v>3507506</x:v>
      </x:c>
      <x:c r="E174" s="111" t="str">
        <x:v>B</x:v>
      </x:c>
      <x:c r="F174" s="51" t="str">
        <x:v>B</x:v>
      </x:c>
    </x:row>
    <x:row r="175">
      <x:c r="A175" s="50" t="str">
        <x:v>RJ</x:v>
      </x:c>
      <x:c r="B175" s="111" t="str">
        <x:v>RJ</x:v>
      </x:c>
      <x:c r="C175" s="111" t="str">
        <x:v>NILOPOLIS</x:v>
      </x:c>
      <x:c r="D175" s="111" t="n">
        <x:v>3303203</x:v>
      </x:c>
      <x:c r="E175" s="111" t="str">
        <x:v>B</x:v>
      </x:c>
      <x:c r="F175" s="51" t="str">
        <x:v>B</x:v>
      </x:c>
    </x:row>
    <x:row r="176">
      <x:c r="A176" s="50" t="str">
        <x:v>PR</x:v>
      </x:c>
      <x:c r="B176" s="111" t="str">
        <x:v>PR</x:v>
      </x:c>
      <x:c r="C176" s="111" t="str">
        <x:v>GUARAPUAVA</x:v>
      </x:c>
      <x:c r="D176" s="111" t="n">
        <x:v>4109401</x:v>
      </x:c>
      <x:c r="E176" s="111" t="str">
        <x:v>B</x:v>
      </x:c>
      <x:c r="F176" s="51" t="str">
        <x:v>B</x:v>
      </x:c>
    </x:row>
    <x:row r="177">
      <x:c r="A177" s="50" t="str">
        <x:v>SC</x:v>
      </x:c>
      <x:c r="B177" s="111" t="str">
        <x:v>SC</x:v>
      </x:c>
      <x:c r="C177" s="111" t="str">
        <x:v>LAGES</x:v>
      </x:c>
      <x:c r="D177" s="111" t="n">
        <x:v>4209300</x:v>
      </x:c>
      <x:c r="E177" s="111" t="str">
        <x:v>B</x:v>
      </x:c>
      <x:c r="F177" s="51" t="str">
        <x:v>B</x:v>
      </x:c>
    </x:row>
    <x:row r="178">
      <x:c r="A178" s="50" t="str">
        <x:v>PR</x:v>
      </x:c>
      <x:c r="B178" s="111" t="str">
        <x:v>PR</x:v>
      </x:c>
      <x:c r="C178" s="111" t="str">
        <x:v>ARAUCARIA</x:v>
      </x:c>
      <x:c r="D178" s="111" t="n">
        <x:v>4101804</x:v>
      </x:c>
      <x:c r="E178" s="111" t="str">
        <x:v>B</x:v>
      </x:c>
      <x:c r="F178" s="51" t="str">
        <x:v>B</x:v>
      </x:c>
    </x:row>
    <x:row r="179">
      <x:c r="A179" s="50" t="str">
        <x:v>RN</x:v>
      </x:c>
      <x:c r="B179" s="111" t="str">
        <x:v>RN</x:v>
      </x:c>
      <x:c r="C179" s="111" t="str">
        <x:v>MOSSORO</x:v>
      </x:c>
      <x:c r="D179" s="111" t="n">
        <x:v>2408003</x:v>
      </x:c>
      <x:c r="E179" s="111" t="str">
        <x:v>B</x:v>
      </x:c>
      <x:c r="F179" s="51" t="str">
        <x:v>B</x:v>
      </x:c>
    </x:row>
    <x:row r="180">
      <x:c r="A180" s="50" t="str">
        <x:v>RJ</x:v>
      </x:c>
      <x:c r="B180" s="111" t="str">
        <x:v>RJ</x:v>
      </x:c>
      <x:c r="C180" s="111" t="str">
        <x:v>TERESOPOLIS</x:v>
      </x:c>
      <x:c r="D180" s="111" t="n">
        <x:v>3305802</x:v>
      </x:c>
      <x:c r="E180" s="111" t="str">
        <x:v>B</x:v>
      </x:c>
      <x:c r="F180" s="51" t="str">
        <x:v>B</x:v>
      </x:c>
    </x:row>
    <x:row r="181">
      <x:c r="A181" s="50" t="str">
        <x:v>SP</x:v>
      </x:c>
      <x:c r="B181" s="111" t="str">
        <x:v>SPI</x:v>
      </x:c>
      <x:c r="C181" s="111" t="str">
        <x:v>PINDAMONHANGABA</x:v>
      </x:c>
      <x:c r="D181" s="111" t="n">
        <x:v>3538006</x:v>
      </x:c>
      <x:c r="E181" s="111" t="str">
        <x:v>B</x:v>
      </x:c>
      <x:c r="F181" s="51" t="str">
        <x:v>B</x:v>
      </x:c>
    </x:row>
    <x:row r="182">
      <x:c r="A182" s="50" t="str">
        <x:v>CE</x:v>
      </x:c>
      <x:c r="B182" s="111" t="str">
        <x:v>CE</x:v>
      </x:c>
      <x:c r="C182" s="111" t="str">
        <x:v>MARACANAU</x:v>
      </x:c>
      <x:c r="D182" s="111" t="n">
        <x:v>2307650</x:v>
      </x:c>
      <x:c r="E182" s="111" t="str">
        <x:v>B</x:v>
      </x:c>
      <x:c r="F182" s="51" t="str">
        <x:v>C</x:v>
      </x:c>
    </x:row>
    <x:row r="183">
      <x:c r="A183" s="50" t="str">
        <x:v>SP</x:v>
      </x:c>
      <x:c r="B183" s="111" t="str">
        <x:v>SPM</x:v>
      </x:c>
      <x:c r="C183" s="111" t="str">
        <x:v>FRANCO DA ROCHA</x:v>
      </x:c>
      <x:c r="D183" s="111" t="n">
        <x:v>3516408</x:v>
      </x:c>
      <x:c r="E183" s="111" t="str">
        <x:v>B</x:v>
      </x:c>
      <x:c r="F183" s="51" t="str">
        <x:v>B</x:v>
      </x:c>
    </x:row>
    <x:row r="184">
      <x:c r="A184" s="50" t="str">
        <x:v>PR</x:v>
      </x:c>
      <x:c r="B184" s="111" t="str">
        <x:v>PR</x:v>
      </x:c>
      <x:c r="C184" s="111" t="str">
        <x:v>ARAPONGAS</x:v>
      </x:c>
      <x:c r="D184" s="111" t="n">
        <x:v>4101507</x:v>
      </x:c>
      <x:c r="E184" s="111" t="str">
        <x:v>B</x:v>
      </x:c>
      <x:c r="F184" s="51" t="str">
        <x:v>B</x:v>
      </x:c>
    </x:row>
    <x:row r="185">
      <x:c r="A185" s="50" t="str">
        <x:v>RS</x:v>
      </x:c>
      <x:c r="B185" s="111" t="str">
        <x:v>RS</x:v>
      </x:c>
      <x:c r="C185" s="111" t="str">
        <x:v>BENTO GONCALVES</x:v>
      </x:c>
      <x:c r="D185" s="111" t="n">
        <x:v>4302105</x:v>
      </x:c>
      <x:c r="E185" s="111" t="str">
        <x:v>B</x:v>
      </x:c>
      <x:c r="F185" s="51" t="str">
        <x:v>B</x:v>
      </x:c>
    </x:row>
    <x:row r="186">
      <x:c r="A186" s="50" t="str">
        <x:v>SP</x:v>
      </x:c>
      <x:c r="B186" s="111" t="str">
        <x:v>SPI</x:v>
      </x:c>
      <x:c r="C186" s="111" t="str">
        <x:v>SALTO</x:v>
      </x:c>
      <x:c r="D186" s="111" t="n">
        <x:v>3545209</x:v>
      </x:c>
      <x:c r="E186" s="111" t="str">
        <x:v>B</x:v>
      </x:c>
      <x:c r="F186" s="51" t="str">
        <x:v>B</x:v>
      </x:c>
    </x:row>
    <x:row r="187">
      <x:c r="A187" s="50" t="str">
        <x:v>MT</x:v>
      </x:c>
      <x:c r="B187" s="111" t="str">
        <x:v>MT</x:v>
      </x:c>
      <x:c r="C187" s="111" t="str">
        <x:v>SINOP</x:v>
      </x:c>
      <x:c r="D187" s="111" t="n">
        <x:v>5107909</x:v>
      </x:c>
      <x:c r="E187" s="111" t="str">
        <x:v>B</x:v>
      </x:c>
      <x:c r="F187" s="51" t="str">
        <x:v>C</x:v>
      </x:c>
    </x:row>
    <x:row r="188">
      <x:c r="A188" s="50" t="str">
        <x:v>RJ</x:v>
      </x:c>
      <x:c r="B188" s="111" t="str">
        <x:v>RJ</x:v>
      </x:c>
      <x:c r="C188" s="111" t="str">
        <x:v>ANGRA DOS REIS</x:v>
      </x:c>
      <x:c r="D188" s="111" t="n">
        <x:v>3300100</x:v>
      </x:c>
      <x:c r="E188" s="111" t="str">
        <x:v>B</x:v>
      </x:c>
      <x:c r="F188" s="51" t="str">
        <x:v>B</x:v>
      </x:c>
    </x:row>
    <x:row r="189">
      <x:c r="A189" s="50" t="str">
        <x:v>BA</x:v>
      </x:c>
      <x:c r="B189" s="111" t="str">
        <x:v>BA</x:v>
      </x:c>
      <x:c r="C189" s="111" t="str">
        <x:v>ITABUNA</x:v>
      </x:c>
      <x:c r="D189" s="111" t="n">
        <x:v>2914802</x:v>
      </x:c>
      <x:c r="E189" s="111" t="str">
        <x:v>B</x:v>
      </x:c>
      <x:c r="F189" s="51" t="str">
        <x:v>B</x:v>
      </x:c>
    </x:row>
    <x:row r="190">
      <x:c r="A190" s="50" t="str">
        <x:v>PR</x:v>
      </x:c>
      <x:c r="B190" s="111" t="str">
        <x:v>PR</x:v>
      </x:c>
      <x:c r="C190" s="111" t="str">
        <x:v>APUCARANA</x:v>
      </x:c>
      <x:c r="D190" s="111" t="n">
        <x:v>4101408</x:v>
      </x:c>
      <x:c r="E190" s="111" t="str">
        <x:v>B</x:v>
      </x:c>
      <x:c r="F190" s="51" t="str">
        <x:v>B</x:v>
      </x:c>
    </x:row>
    <x:row r="191">
      <x:c r="A191" s="50" t="str">
        <x:v>MG</x:v>
      </x:c>
      <x:c r="B191" s="111" t="str">
        <x:v>MG</x:v>
      </x:c>
      <x:c r="C191" s="111" t="str">
        <x:v>IBIRITE</x:v>
      </x:c>
      <x:c r="D191" s="111" t="n">
        <x:v>3129806</x:v>
      </x:c>
      <x:c r="E191" s="111" t="str">
        <x:v>B</x:v>
      </x:c>
      <x:c r="F191" s="51" t="str">
        <x:v>C</x:v>
      </x:c>
    </x:row>
    <x:row r="192">
      <x:c r="A192" s="50" t="str">
        <x:v>SP</x:v>
      </x:c>
      <x:c r="B192" s="111" t="str">
        <x:v>SPI</x:v>
      </x:c>
      <x:c r="C192" s="111" t="str">
        <x:v>ITAPETININGA</x:v>
      </x:c>
      <x:c r="D192" s="111" t="n">
        <x:v>3522307</x:v>
      </x:c>
      <x:c r="E192" s="111" t="str">
        <x:v>B</x:v>
      </x:c>
      <x:c r="F192" s="51" t="str">
        <x:v>B</x:v>
      </x:c>
    </x:row>
    <x:row r="193">
      <x:c r="A193" s="50" t="str">
        <x:v>SC</x:v>
      </x:c>
      <x:c r="B193" s="111" t="str">
        <x:v>SC</x:v>
      </x:c>
      <x:c r="C193" s="111" t="str">
        <x:v>TUBARAO</x:v>
      </x:c>
      <x:c r="D193" s="111" t="n">
        <x:v>4218707</x:v>
      </x:c>
      <x:c r="E193" s="111" t="str">
        <x:v>B</x:v>
      </x:c>
      <x:c r="F193" s="51" t="str">
        <x:v>B</x:v>
      </x:c>
    </x:row>
    <x:row r="194">
      <x:c r="A194" s="50" t="str">
        <x:v>RJ</x:v>
      </x:c>
      <x:c r="B194" s="111" t="str">
        <x:v>RJ</x:v>
      </x:c>
      <x:c r="C194" s="111" t="str">
        <x:v>ITABORAI</x:v>
      </x:c>
      <x:c r="D194" s="111" t="n">
        <x:v>3301900</x:v>
      </x:c>
      <x:c r="E194" s="111" t="str">
        <x:v>B</x:v>
      </x:c>
      <x:c r="F194" s="51" t="str">
        <x:v>C</x:v>
      </x:c>
    </x:row>
    <x:row r="195">
      <x:c r="A195" s="50" t="str">
        <x:v>SP</x:v>
      </x:c>
      <x:c r="B195" s="111" t="str">
        <x:v>SPI</x:v>
      </x:c>
      <x:c r="C195" s="111" t="str">
        <x:v>CATANDUVA</x:v>
      </x:c>
      <x:c r="D195" s="111" t="n">
        <x:v>3511102</x:v>
      </x:c>
      <x:c r="E195" s="111" t="str">
        <x:v>B</x:v>
      </x:c>
      <x:c r="F195" s="51" t="str">
        <x:v>B</x:v>
      </x:c>
    </x:row>
    <x:row r="196">
      <x:c r="A196" s="50" t="str">
        <x:v>SP</x:v>
      </x:c>
      <x:c r="B196" s="111" t="str">
        <x:v>SPI</x:v>
      </x:c>
      <x:c r="C196" s="111" t="str">
        <x:v>PAULINIA</x:v>
      </x:c>
      <x:c r="D196" s="111" t="n">
        <x:v>3536505</x:v>
      </x:c>
      <x:c r="E196" s="111" t="str">
        <x:v>B</x:v>
      </x:c>
      <x:c r="F196" s="51" t="str">
        <x:v>C</x:v>
      </x:c>
    </x:row>
    <x:row r="197">
      <x:c r="A197" s="50" t="str">
        <x:v>SP</x:v>
      </x:c>
      <x:c r="B197" s="111" t="str">
        <x:v>SPM</x:v>
      </x:c>
      <x:c r="C197" s="111" t="str">
        <x:v>FERRAZ DE VASCONCELOS</x:v>
      </x:c>
      <x:c r="D197" s="111" t="n">
        <x:v>3515707</x:v>
      </x:c>
      <x:c r="E197" s="111" t="str">
        <x:v>B</x:v>
      </x:c>
      <x:c r="F197" s="51" t="str">
        <x:v>C</x:v>
      </x:c>
    </x:row>
    <x:row r="198">
      <x:c r="A198" s="50" t="str">
        <x:v>RJ</x:v>
      </x:c>
      <x:c r="B198" s="111" t="str">
        <x:v>RJ</x:v>
      </x:c>
      <x:c r="C198" s="111" t="str">
        <x:v>RIO DAS OSTRAS</x:v>
      </x:c>
      <x:c r="D198" s="111" t="n">
        <x:v>3304524</x:v>
      </x:c>
      <x:c r="E198" s="111" t="str">
        <x:v>B</x:v>
      </x:c>
      <x:c r="F198" s="51" t="str">
        <x:v>C</x:v>
      </x:c>
    </x:row>
    <x:row r="199">
      <x:c r="A199" s="50" t="str">
        <x:v>PR</x:v>
      </x:c>
      <x:c r="B199" s="111" t="str">
        <x:v>PR</x:v>
      </x:c>
      <x:c r="C199" s="111" t="str">
        <x:v>TOLEDO</x:v>
      </x:c>
      <x:c r="D199" s="111" t="n">
        <x:v>4127700</x:v>
      </x:c>
      <x:c r="E199" s="111" t="str">
        <x:v>B</x:v>
      </x:c>
      <x:c r="F199" s="51" t="str">
        <x:v>B</x:v>
      </x:c>
    </x:row>
    <x:row r="200">
      <x:c r="A200" s="50" t="str">
        <x:v>SP</x:v>
      </x:c>
      <x:c r="B200" s="111" t="str">
        <x:v>SPI</x:v>
      </x:c>
      <x:c r="C200" s="111" t="str">
        <x:v>ARARAS</x:v>
      </x:c>
      <x:c r="D200" s="111" t="n">
        <x:v>3503307</x:v>
      </x:c>
      <x:c r="E200" s="111" t="str">
        <x:v>B</x:v>
      </x:c>
      <x:c r="F200" s="51" t="str">
        <x:v>B</x:v>
      </x:c>
    </x:row>
    <x:row r="201">
      <x:c r="A201" s="50" t="str">
        <x:v>RJ</x:v>
      </x:c>
      <x:c r="B201" s="111" t="str">
        <x:v>RJ</x:v>
      </x:c>
      <x:c r="C201" s="111" t="str">
        <x:v>MARICA</x:v>
      </x:c>
      <x:c r="D201" s="111" t="n">
        <x:v>3302700</x:v>
      </x:c>
      <x:c r="E201" s="111" t="str">
        <x:v>B</x:v>
      </x:c>
      <x:c r="F201" s="51" t="str">
        <x:v>C</x:v>
      </x:c>
    </x:row>
    <x:row r="202">
      <x:c r="A202" s="50" t="str">
        <x:v>MA</x:v>
      </x:c>
      <x:c r="B202" s="111" t="str">
        <x:v>MA</x:v>
      </x:c>
      <x:c r="C202" s="111" t="str">
        <x:v>IMPERATRIZ</x:v>
      </x:c>
      <x:c r="D202" s="111" t="n">
        <x:v>2105302</x:v>
      </x:c>
      <x:c r="E202" s="111" t="str">
        <x:v>B</x:v>
      </x:c>
      <x:c r="F202" s="51" t="str">
        <x:v>C</x:v>
      </x:c>
    </x:row>
    <x:row r="203">
      <x:c r="A203" s="50" t="str">
        <x:v>RJ</x:v>
      </x:c>
      <x:c r="B203" s="111" t="str">
        <x:v>RJ</x:v>
      </x:c>
      <x:c r="C203" s="111" t="str">
        <x:v>BARRA MANSA</x:v>
      </x:c>
      <x:c r="D203" s="111" t="n">
        <x:v>3300407</x:v>
      </x:c>
      <x:c r="E203" s="111" t="str">
        <x:v>B</x:v>
      </x:c>
      <x:c r="F203" s="51" t="str">
        <x:v>C</x:v>
      </x:c>
    </x:row>
    <x:row r="204">
      <x:c r="A204" s="50" t="str">
        <x:v>CE</x:v>
      </x:c>
      <x:c r="B204" s="111" t="str">
        <x:v>CE</x:v>
      </x:c>
      <x:c r="C204" s="111" t="str">
        <x:v>JUAZEIRO DO NORTE</x:v>
      </x:c>
      <x:c r="D204" s="111" t="n">
        <x:v>2307304</x:v>
      </x:c>
      <x:c r="E204" s="111" t="str">
        <x:v>B</x:v>
      </x:c>
      <x:c r="F204" s="51" t="str">
        <x:v>B</x:v>
      </x:c>
    </x:row>
    <x:row r="205">
      <x:c r="A205" s="50" t="str">
        <x:v>RS</x:v>
      </x:c>
      <x:c r="B205" s="111" t="str">
        <x:v>RS</x:v>
      </x:c>
      <x:c r="C205" s="111" t="str">
        <x:v>SANTA CRUZ DO SUL</x:v>
      </x:c>
      <x:c r="D205" s="111" t="n">
        <x:v>4316808</x:v>
      </x:c>
      <x:c r="E205" s="111" t="str">
        <x:v>B</x:v>
      </x:c>
      <x:c r="F205" s="51" t="str">
        <x:v>B</x:v>
      </x:c>
    </x:row>
    <x:row r="206">
      <x:c r="A206" s="50" t="str">
        <x:v>SP</x:v>
      </x:c>
      <x:c r="B206" s="111" t="str">
        <x:v>SPI</x:v>
      </x:c>
      <x:c r="C206" s="111" t="str">
        <x:v>GUARATINGUETA</x:v>
      </x:c>
      <x:c r="D206" s="111" t="n">
        <x:v>3518404</x:v>
      </x:c>
      <x:c r="E206" s="111" t="str">
        <x:v>B</x:v>
      </x:c>
      <x:c r="F206" s="51" t="str">
        <x:v>C</x:v>
      </x:c>
    </x:row>
    <x:row r="207">
      <x:c r="A207" s="50" t="str">
        <x:v>PR</x:v>
      </x:c>
      <x:c r="B207" s="111" t="str">
        <x:v>PR</x:v>
      </x:c>
      <x:c r="C207" s="111" t="str">
        <x:v>PARANAGUA</x:v>
      </x:c>
      <x:c r="D207" s="111" t="n">
        <x:v>4118204</x:v>
      </x:c>
      <x:c r="E207" s="111" t="str">
        <x:v>C</x:v>
      </x:c>
      <x:c r="F207" s="51" t="str">
        <x:v>B</x:v>
      </x:c>
    </x:row>
    <x:row r="208">
      <x:c r="A208" s="50" t="str">
        <x:v>MG</x:v>
      </x:c>
      <x:c r="B208" s="111" t="str">
        <x:v>MG</x:v>
      </x:c>
      <x:c r="C208" s="111" t="str">
        <x:v>CONSELHEIRO LAFAIETE</x:v>
      </x:c>
      <x:c r="D208" s="111" t="n">
        <x:v>3118304</x:v>
      </x:c>
      <x:c r="E208" s="111" t="str">
        <x:v>C</x:v>
      </x:c>
      <x:c r="F208" s="51" t="str">
        <x:v>C</x:v>
      </x:c>
    </x:row>
    <x:row r="209">
      <x:c r="A209" s="50" t="str">
        <x:v>GO</x:v>
      </x:c>
      <x:c r="B209" s="111" t="str">
        <x:v>BSB</x:v>
      </x:c>
      <x:c r="C209" s="111" t="str">
        <x:v>LUZIANIA</x:v>
      </x:c>
      <x:c r="D209" s="111" t="n">
        <x:v>5212501</x:v>
      </x:c>
      <x:c r="E209" s="111" t="str">
        <x:v>C</x:v>
      </x:c>
      <x:c r="F209" s="51" t="str">
        <x:v>C</x:v>
      </x:c>
    </x:row>
    <x:row r="210">
      <x:c r="A210" s="50" t="str">
        <x:v>SP</x:v>
      </x:c>
      <x:c r="B210" s="111" t="str">
        <x:v>SPI</x:v>
      </x:c>
      <x:c r="C210" s="111" t="str">
        <x:v>ITATIBA</x:v>
      </x:c>
      <x:c r="D210" s="111" t="n">
        <x:v>3523404</x:v>
      </x:c>
      <x:c r="E210" s="111" t="str">
        <x:v>C</x:v>
      </x:c>
      <x:c r="F210" s="51" t="str">
        <x:v>C</x:v>
      </x:c>
    </x:row>
    <x:row r="211">
      <x:c r="A211" s="50" t="str">
        <x:v>SP</x:v>
      </x:c>
      <x:c r="B211" s="111" t="str">
        <x:v>SPM</x:v>
      </x:c>
      <x:c r="C211" s="111" t="str">
        <x:v>JANDIRA</x:v>
      </x:c>
      <x:c r="D211" s="111" t="n">
        <x:v>3525003</x:v>
      </x:c>
      <x:c r="E211" s="111" t="str">
        <x:v>C</x:v>
      </x:c>
      <x:c r="F211" s="51" t="str">
        <x:v>C</x:v>
      </x:c>
    </x:row>
    <x:row r="212">
      <x:c r="A212" s="50" t="str">
        <x:v>ES</x:v>
      </x:c>
      <x:c r="B212" s="111" t="str">
        <x:v>ES</x:v>
      </x:c>
      <x:c r="C212" s="111" t="str">
        <x:v>LINHARES</x:v>
      </x:c>
      <x:c r="D212" s="111" t="n">
        <x:v>3203205</x:v>
      </x:c>
      <x:c r="E212" s="111" t="str">
        <x:v>C</x:v>
      </x:c>
      <x:c r="F212" s="51" t="str">
        <x:v>C</x:v>
      </x:c>
    </x:row>
    <x:row r="213">
      <x:c r="A213" s="50" t="str">
        <x:v>SC</x:v>
      </x:c>
      <x:c r="B213" s="111" t="str">
        <x:v>SC</x:v>
      </x:c>
      <x:c r="C213" s="111" t="str">
        <x:v>GASPAR</x:v>
      </x:c>
      <x:c r="D213" s="111" t="n">
        <x:v>4205902</x:v>
      </x:c>
      <x:c r="E213" s="111" t="str">
        <x:v>C</x:v>
      </x:c>
      <x:c r="F213" s="51" t="str">
        <x:v>C</x:v>
      </x:c>
    </x:row>
    <x:row r="214">
      <x:c r="A214" s="50" t="str">
        <x:v>PR</x:v>
      </x:c>
      <x:c r="B214" s="111" t="str">
        <x:v>PR</x:v>
      </x:c>
      <x:c r="C214" s="111" t="str">
        <x:v>UMUARAMA</x:v>
      </x:c>
      <x:c r="D214" s="111" t="n">
        <x:v>4128104</x:v>
      </x:c>
      <x:c r="E214" s="111" t="str">
        <x:v>C</x:v>
      </x:c>
      <x:c r="F214" s="51" t="str">
        <x:v>B</x:v>
      </x:c>
    </x:row>
    <x:row r="215">
      <x:c r="A215" s="50" t="str">
        <x:v>RJ</x:v>
      </x:c>
      <x:c r="B215" s="111" t="str">
        <x:v>RJ</x:v>
      </x:c>
      <x:c r="C215" s="111" t="str">
        <x:v>MESQUITA</x:v>
      </x:c>
      <x:c r="D215" s="111" t="n">
        <x:v>3302858</x:v>
      </x:c>
      <x:c r="E215" s="111" t="str">
        <x:v>C</x:v>
      </x:c>
      <x:c r="F215" s="51" t="str">
        <x:v>C</x:v>
      </x:c>
    </x:row>
    <x:row r="216">
      <x:c r="A216" s="50" t="str">
        <x:v>GO</x:v>
      </x:c>
      <x:c r="B216" s="111" t="str">
        <x:v>BSB</x:v>
      </x:c>
      <x:c r="C216" s="111" t="str">
        <x:v>VALPARAISO DE GOIAS</x:v>
      </x:c>
      <x:c r="D216" s="111" t="n">
        <x:v>5221858</x:v>
      </x:c>
      <x:c r="E216" s="111" t="str">
        <x:v>C</x:v>
      </x:c>
      <x:c r="F216" s="51" t="str">
        <x:v>C</x:v>
      </x:c>
    </x:row>
    <x:row r="217">
      <x:c r="A217" s="50" t="str">
        <x:v>SP</x:v>
      </x:c>
      <x:c r="B217" s="111" t="str">
        <x:v>SPI</x:v>
      </x:c>
      <x:c r="C217" s="111" t="str">
        <x:v>BARRETOS</x:v>
      </x:c>
      <x:c r="D217" s="111" t="n">
        <x:v>3505500</x:v>
      </x:c>
      <x:c r="E217" s="111" t="str">
        <x:v>C</x:v>
      </x:c>
      <x:c r="F217" s="51" t="str">
        <x:v>B</x:v>
      </x:c>
    </x:row>
    <x:row r="218">
      <x:c r="A218" s="50" t="str">
        <x:v>SP</x:v>
      </x:c>
      <x:c r="B218" s="111" t="str">
        <x:v>SPM</x:v>
      </x:c>
      <x:c r="C218" s="111" t="str">
        <x:v>FRANCISCO MORATO</x:v>
      </x:c>
      <x:c r="D218" s="111" t="n">
        <x:v>3516309</x:v>
      </x:c>
      <x:c r="E218" s="111" t="str">
        <x:v>C</x:v>
      </x:c>
      <x:c r="F218" s="51" t="str">
        <x:v>C</x:v>
      </x:c>
    </x:row>
    <x:row r="219">
      <x:c r="A219" s="50" t="str">
        <x:v>BA</x:v>
      </x:c>
      <x:c r="B219" s="111" t="str">
        <x:v>BA</x:v>
      </x:c>
      <x:c r="C219" s="111" t="str">
        <x:v>JUAZEIRO</x:v>
      </x:c>
      <x:c r="D219" s="111" t="n">
        <x:v>2918407</x:v>
      </x:c>
      <x:c r="E219" s="111" t="str">
        <x:v>C</x:v>
      </x:c>
      <x:c r="F219" s="51" t="str">
        <x:v>C</x:v>
      </x:c>
    </x:row>
    <x:row r="220">
      <x:c r="A220" s="50" t="str">
        <x:v>SP</x:v>
      </x:c>
      <x:c r="B220" s="111" t="str">
        <x:v>SPI</x:v>
      </x:c>
      <x:c r="C220" s="111" t="str">
        <x:v>SERTAOZINHO</x:v>
      </x:c>
      <x:c r="D220" s="111" t="n">
        <x:v>3551702</x:v>
      </x:c>
      <x:c r="E220" s="111" t="str">
        <x:v>C</x:v>
      </x:c>
      <x:c r="F220" s="51" t="str">
        <x:v>C</x:v>
      </x:c>
    </x:row>
    <x:row r="221">
      <x:c r="A221" s="50" t="str">
        <x:v>SP</x:v>
      </x:c>
      <x:c r="B221" s="111" t="str">
        <x:v>SPI</x:v>
      </x:c>
      <x:c r="C221" s="111" t="str">
        <x:v>CARAGUATATUBA</x:v>
      </x:c>
      <x:c r="D221" s="111" t="n">
        <x:v>3510500</x:v>
      </x:c>
      <x:c r="E221" s="111" t="str">
        <x:v>C</x:v>
      </x:c>
      <x:c r="F221" s="51" t="str">
        <x:v>C</x:v>
      </x:c>
    </x:row>
    <x:row r="222">
      <x:c r="A222" s="50" t="str">
        <x:v>PA</x:v>
      </x:c>
      <x:c r="B222" s="111" t="str">
        <x:v>PA</x:v>
      </x:c>
      <x:c r="C222" s="111" t="str">
        <x:v>PARAUAPEBAS</x:v>
      </x:c>
      <x:c r="D222" s="111" t="n">
        <x:v>1505536</x:v>
      </x:c>
      <x:c r="E222" s="111" t="str">
        <x:v>C</x:v>
      </x:c>
      <x:c r="F222" s="51" t="str">
        <x:v>C</x:v>
      </x:c>
    </x:row>
    <x:row r="223">
      <x:c r="A223" s="50" t="str">
        <x:v>SP</x:v>
      </x:c>
      <x:c r="B223" s="111" t="str">
        <x:v>SPI</x:v>
      </x:c>
      <x:c r="C223" s="111" t="str">
        <x:v>ASSIS</x:v>
      </x:c>
      <x:c r="D223" s="111" t="n">
        <x:v>3504008</x:v>
      </x:c>
      <x:c r="E223" s="111" t="str">
        <x:v>C</x:v>
      </x:c>
      <x:c r="F223" s="51" t="str">
        <x:v>B</x:v>
      </x:c>
    </x:row>
    <x:row r="224">
      <x:c r="A224" s="50" t="str">
        <x:v>SP</x:v>
      </x:c>
      <x:c r="B224" s="111" t="str">
        <x:v>SPI</x:v>
      </x:c>
      <x:c r="C224" s="111" t="str">
        <x:v>OURINHOS</x:v>
      </x:c>
      <x:c r="D224" s="111" t="n">
        <x:v>3534708</x:v>
      </x:c>
      <x:c r="E224" s="111" t="str">
        <x:v>C</x:v>
      </x:c>
      <x:c r="F224" s="51" t="str">
        <x:v>B</x:v>
      </x:c>
    </x:row>
    <x:row r="225">
      <x:c r="A225" s="50" t="str">
        <x:v>MG</x:v>
      </x:c>
      <x:c r="B225" s="111" t="str">
        <x:v>MG</x:v>
      </x:c>
      <x:c r="C225" s="111" t="str">
        <x:v>LAVRAS</x:v>
      </x:c>
      <x:c r="D225" s="111" t="n">
        <x:v>3138203</x:v>
      </x:c>
      <x:c r="E225" s="111" t="str">
        <x:v>C</x:v>
      </x:c>
      <x:c r="F225" s="51" t="str">
        <x:v>C</x:v>
      </x:c>
    </x:row>
    <x:row r="226">
      <x:c r="A226" s="50" t="str">
        <x:v>ES</x:v>
      </x:c>
      <x:c r="B226" s="111" t="str">
        <x:v>ES</x:v>
      </x:c>
      <x:c r="C226" s="111" t="str">
        <x:v>GUARAPARI</x:v>
      </x:c>
      <x:c r="D226" s="111" t="n">
        <x:v>3202405</x:v>
      </x:c>
      <x:c r="E226" s="111" t="str">
        <x:v>C</x:v>
      </x:c>
      <x:c r="F226" s="51" t="str">
        <x:v>C</x:v>
      </x:c>
    </x:row>
    <x:row r="227">
      <x:c r="A227" s="50" t="str">
        <x:v>SP</x:v>
      </x:c>
      <x:c r="B227" s="111" t="str">
        <x:v>SPM</x:v>
      </x:c>
      <x:c r="C227" s="111" t="str">
        <x:v>RIBEIRAO PIRES</x:v>
      </x:c>
      <x:c r="D227" s="111" t="n">
        <x:v>3543303</x:v>
      </x:c>
      <x:c r="E227" s="111" t="str">
        <x:v>C</x:v>
      </x:c>
      <x:c r="F227" s="51" t="str">
        <x:v>C</x:v>
      </x:c>
    </x:row>
    <x:row r="228">
      <x:c r="A228" s="50" t="str">
        <x:v>PA</x:v>
      </x:c>
      <x:c r="B228" s="111" t="str">
        <x:v>PA</x:v>
      </x:c>
      <x:c r="C228" s="111" t="str">
        <x:v>SANTAREM</x:v>
      </x:c>
      <x:c r="D228" s="111" t="n">
        <x:v>1506807</x:v>
      </x:c>
      <x:c r="E228" s="111" t="str">
        <x:v>C</x:v>
      </x:c>
      <x:c r="F228" s="51" t="str">
        <x:v>C</x:v>
      </x:c>
    </x:row>
    <x:row r="229">
      <x:c r="A229" s="50" t="str">
        <x:v>MG</x:v>
      </x:c>
      <x:c r="B229" s="111" t="str">
        <x:v>MG</x:v>
      </x:c>
      <x:c r="C229" s="111" t="str">
        <x:v>NOVA LIMA</x:v>
      </x:c>
      <x:c r="D229" s="111" t="n">
        <x:v>3144805</x:v>
      </x:c>
      <x:c r="E229" s="111" t="str">
        <x:v>C</x:v>
      </x:c>
      <x:c r="F229" s="51" t="str">
        <x:v>C</x:v>
      </x:c>
    </x:row>
    <x:row r="230">
      <x:c r="A230" s="50" t="str">
        <x:v>PE</x:v>
      </x:c>
      <x:c r="B230" s="111" t="str">
        <x:v>PE</x:v>
      </x:c>
      <x:c r="C230" s="111" t="str">
        <x:v>CABO DE SANTO AGOSTINHO</x:v>
      </x:c>
      <x:c r="D230" s="111" t="n">
        <x:v>2602902</x:v>
      </x:c>
      <x:c r="E230" s="111" t="str">
        <x:v>C</x:v>
      </x:c>
      <x:c r="F230" s="51" t="str">
        <x:v>C</x:v>
      </x:c>
    </x:row>
    <x:row r="231">
      <x:c r="A231" s="50" t="str">
        <x:v>RS</x:v>
      </x:c>
      <x:c r="B231" s="111" t="str">
        <x:v>RS</x:v>
      </x:c>
      <x:c r="C231" s="111" t="str">
        <x:v>ERECHIM</x:v>
      </x:c>
      <x:c r="D231" s="111" t="n">
        <x:v>4307005</x:v>
      </x:c>
      <x:c r="E231" s="111" t="str">
        <x:v>C</x:v>
      </x:c>
      <x:c r="F231" s="51" t="str">
        <x:v>B</x:v>
      </x:c>
    </x:row>
    <x:row r="232">
      <x:c r="A232" s="50" t="str">
        <x:v>PA</x:v>
      </x:c>
      <x:c r="B232" s="111" t="str">
        <x:v>PA</x:v>
      </x:c>
      <x:c r="C232" s="111" t="str">
        <x:v>MARABA</x:v>
      </x:c>
      <x:c r="D232" s="111" t="n">
        <x:v>1504208</x:v>
      </x:c>
      <x:c r="E232" s="111" t="str">
        <x:v>C</x:v>
      </x:c>
      <x:c r="F232" s="51" t="str">
        <x:v>C</x:v>
      </x:c>
    </x:row>
    <x:row r="233">
      <x:c r="A233" s="50" t="str">
        <x:v>MG</x:v>
      </x:c>
      <x:c r="B233" s="111" t="str">
        <x:v>MG</x:v>
      </x:c>
      <x:c r="C233" s="111" t="str">
        <x:v>TEOFILO OTONI</x:v>
      </x:c>
      <x:c r="D233" s="111" t="n">
        <x:v>3168606</x:v>
      </x:c>
      <x:c r="E233" s="111" t="str">
        <x:v>C</x:v>
      </x:c>
      <x:c r="F233" s="51" t="str">
        <x:v>C</x:v>
      </x:c>
    </x:row>
    <x:row r="234">
      <x:c r="A234" s="50" t="str">
        <x:v>SP</x:v>
      </x:c>
      <x:c r="B234" s="111" t="str">
        <x:v>SPM</x:v>
      </x:c>
      <x:c r="C234" s="111" t="str">
        <x:v>CUBATAO</x:v>
      </x:c>
      <x:c r="D234" s="111" t="n">
        <x:v>3513504</x:v>
      </x:c>
      <x:c r="E234" s="111" t="str">
        <x:v>C</x:v>
      </x:c>
      <x:c r="F234" s="51" t="str">
        <x:v>C</x:v>
      </x:c>
    </x:row>
    <x:row r="235">
      <x:c r="A235" s="50" t="str">
        <x:v>RS</x:v>
      </x:c>
      <x:c r="B235" s="111" t="str">
        <x:v>RS</x:v>
      </x:c>
      <x:c r="C235" s="111" t="str">
        <x:v>LAJEADO</x:v>
      </x:c>
      <x:c r="D235" s="111" t="n">
        <x:v>4311403</x:v>
      </x:c>
      <x:c r="E235" s="111" t="str">
        <x:v>C</x:v>
      </x:c>
      <x:c r="F235" s="51" t="str">
        <x:v>B</x:v>
      </x:c>
    </x:row>
    <x:row r="236">
      <x:c r="A236" s="50" t="str">
        <x:v>PR</x:v>
      </x:c>
      <x:c r="B236" s="111" t="str">
        <x:v>PR</x:v>
      </x:c>
      <x:c r="C236" s="111" t="str">
        <x:v>FAZENDA RIO GRANDE</x:v>
      </x:c>
      <x:c r="D236" s="111" t="n">
        <x:v>4107652</x:v>
      </x:c>
      <x:c r="E236" s="111" t="str">
        <x:v>C</x:v>
      </x:c>
      <x:c r="F236" s="51" t="str">
        <x:v>C</x:v>
      </x:c>
    </x:row>
    <x:row r="237">
      <x:c r="A237" s="50" t="str">
        <x:v>SP</x:v>
      </x:c>
      <x:c r="B237" s="111" t="str">
        <x:v>SPM</x:v>
      </x:c>
      <x:c r="C237" s="111" t="str">
        <x:v>POA</x:v>
      </x:c>
      <x:c r="D237" s="111" t="n">
        <x:v>3539806</x:v>
      </x:c>
      <x:c r="E237" s="111" t="str">
        <x:v>C</x:v>
      </x:c>
      <x:c r="F237" s="51" t="str">
        <x:v>C</x:v>
      </x:c>
    </x:row>
    <x:row r="238">
      <x:c r="A238" s="50" t="str">
        <x:v>RJ</x:v>
      </x:c>
      <x:c r="B238" s="111" t="str">
        <x:v>RJ</x:v>
      </x:c>
      <x:c r="C238" s="111" t="str">
        <x:v>RESENDE</x:v>
      </x:c>
      <x:c r="D238" s="111" t="n">
        <x:v>3304201</x:v>
      </x:c>
      <x:c r="E238" s="111" t="str">
        <x:v>C</x:v>
      </x:c>
      <x:c r="F238" s="51" t="str">
        <x:v>C</x:v>
      </x:c>
    </x:row>
    <x:row r="239">
      <x:c r="A239" s="50" t="str">
        <x:v>SP</x:v>
      </x:c>
      <x:c r="B239" s="111" t="str">
        <x:v>SPI</x:v>
      </x:c>
      <x:c r="C239" s="111" t="str">
        <x:v>MATAO</x:v>
      </x:c>
      <x:c r="D239" s="111" t="n">
        <x:v>3529302</x:v>
      </x:c>
      <x:c r="E239" s="111" t="str">
        <x:v>C</x:v>
      </x:c>
      <x:c r="F239" s="51" t="str">
        <x:v>C</x:v>
      </x:c>
    </x:row>
    <x:row r="240">
      <x:c r="A240" s="50" t="str">
        <x:v>MG</x:v>
      </x:c>
      <x:c r="B240" s="111" t="str">
        <x:v>MG</x:v>
      </x:c>
      <x:c r="C240" s="111" t="str">
        <x:v>ALFENAS</x:v>
      </x:c>
      <x:c r="D240" s="111" t="n">
        <x:v>3101607</x:v>
      </x:c>
      <x:c r="E240" s="111" t="str">
        <x:v>C</x:v>
      </x:c>
      <x:c r="F240" s="51" t="str">
        <x:v>C</x:v>
      </x:c>
    </x:row>
    <x:row r="241">
      <x:c r="A241" s="50" t="str">
        <x:v>MG</x:v>
      </x:c>
      <x:c r="B241" s="111" t="str">
        <x:v>MG</x:v>
      </x:c>
      <x:c r="C241" s="111" t="str">
        <x:v>SABARA</x:v>
      </x:c>
      <x:c r="D241" s="111" t="n">
        <x:v>3156700</x:v>
      </x:c>
      <x:c r="E241" s="111" t="str">
        <x:v>C</x:v>
      </x:c>
      <x:c r="F241" s="51" t="str">
        <x:v>C</x:v>
      </x:c>
    </x:row>
    <x:row r="242">
      <x:c r="A242" s="50" t="str">
        <x:v>MG</x:v>
      </x:c>
      <x:c r="B242" s="111" t="str">
        <x:v>MG</x:v>
      </x:c>
      <x:c r="C242" s="111" t="str">
        <x:v>VESPASIANO</x:v>
      </x:c>
      <x:c r="D242" s="111" t="n">
        <x:v>3171204</x:v>
      </x:c>
      <x:c r="E242" s="111" t="str">
        <x:v>C</x:v>
      </x:c>
      <x:c r="F242" s="51" t="str">
        <x:v>C</x:v>
      </x:c>
    </x:row>
    <x:row r="243">
      <x:c r="A243" s="50" t="str">
        <x:v>SP</x:v>
      </x:c>
      <x:c r="B243" s="111" t="str">
        <x:v>SPI</x:v>
      </x:c>
      <x:c r="C243" s="111" t="str">
        <x:v>MOGI MIRIM</x:v>
      </x:c>
      <x:c r="D243" s="111" t="n">
        <x:v>3530805</x:v>
      </x:c>
      <x:c r="E243" s="111" t="str">
        <x:v>C</x:v>
      </x:c>
      <x:c r="F243" s="51" t="str">
        <x:v>C</x:v>
      </x:c>
    </x:row>
    <x:row r="244">
      <x:c r="A244" s="50" t="str">
        <x:v>SP</x:v>
      </x:c>
      <x:c r="B244" s="111" t="str">
        <x:v>SPI</x:v>
      </x:c>
      <x:c r="C244" s="111" t="str">
        <x:v>VARZEA PAULISTA</x:v>
      </x:c>
      <x:c r="D244" s="111" t="n">
        <x:v>3556503</x:v>
      </x:c>
      <x:c r="E244" s="111" t="str">
        <x:v>C</x:v>
      </x:c>
      <x:c r="F244" s="51" t="str">
        <x:v>C</x:v>
      </x:c>
    </x:row>
    <x:row r="245">
      <x:c r="A245" s="50" t="str">
        <x:v>RS</x:v>
      </x:c>
      <x:c r="B245" s="111" t="str">
        <x:v>RS</x:v>
      </x:c>
      <x:c r="C245" s="111" t="str">
        <x:v>SAPUCAIA DO SUL</x:v>
      </x:c>
      <x:c r="D245" s="111" t="n">
        <x:v>4320008</x:v>
      </x:c>
      <x:c r="E245" s="111" t="str">
        <x:v>C</x:v>
      </x:c>
      <x:c r="F245" s="51" t="str">
        <x:v>C</x:v>
      </x:c>
    </x:row>
    <x:row r="246">
      <x:c r="A246" s="50" t="str">
        <x:v>GO</x:v>
      </x:c>
      <x:c r="B246" s="111" t="str">
        <x:v>BSB</x:v>
      </x:c>
      <x:c r="C246" s="111" t="str">
        <x:v>AGUAS LINDAS DE GOIAS</x:v>
      </x:c>
      <x:c r="D246" s="111" t="n">
        <x:v>5200258</x:v>
      </x:c>
      <x:c r="E246" s="111" t="str">
        <x:v>C</x:v>
      </x:c>
      <x:c r="F246" s="51" t="str">
        <x:v>C</x:v>
      </x:c>
    </x:row>
    <x:row r="247">
      <x:c r="A247" s="50" t="str">
        <x:v>PR</x:v>
      </x:c>
      <x:c r="B247" s="111" t="str">
        <x:v>PR</x:v>
      </x:c>
      <x:c r="C247" s="111" t="str">
        <x:v>PARANAVAI</x:v>
      </x:c>
      <x:c r="D247" s="111" t="n">
        <x:v>4118402</x:v>
      </x:c>
      <x:c r="E247" s="111" t="str">
        <x:v>C</x:v>
      </x:c>
      <x:c r="F247" s="51" t="str">
        <x:v>C</x:v>
      </x:c>
    </x:row>
    <x:row r="248">
      <x:c r="A248" s="50" t="str">
        <x:v>MG</x:v>
      </x:c>
      <x:c r="B248" s="111" t="str">
        <x:v>MG</x:v>
      </x:c>
      <x:c r="C248" s="111" t="str">
        <x:v>UBA</x:v>
      </x:c>
      <x:c r="D248" s="111" t="n">
        <x:v>3169901</x:v>
      </x:c>
      <x:c r="E248" s="111" t="str">
        <x:v>C</x:v>
      </x:c>
      <x:c r="F248" s="51" t="str">
        <x:v>B</x:v>
      </x:c>
    </x:row>
    <x:row r="249">
      <x:c r="A249" s="50" t="str">
        <x:v>TO</x:v>
      </x:c>
      <x:c r="B249" s="111" t="str">
        <x:v>TO</x:v>
      </x:c>
      <x:c r="C249" s="111" t="str">
        <x:v>ARAGUAINA</x:v>
      </x:c>
      <x:c r="D249" s="111" t="n">
        <x:v>1702109</x:v>
      </x:c>
      <x:c r="E249" s="111" t="str">
        <x:v>C</x:v>
      </x:c>
      <x:c r="F249" s="51" t="str">
        <x:v>C</x:v>
      </x:c>
    </x:row>
    <x:row r="250">
      <x:c r="A250" s="50" t="str">
        <x:v>BA</x:v>
      </x:c>
      <x:c r="B250" s="111" t="str">
        <x:v>BA</x:v>
      </x:c>
      <x:c r="C250" s="111" t="str">
        <x:v>ILHEUS</x:v>
      </x:c>
      <x:c r="D250" s="111" t="n">
        <x:v>2913606</x:v>
      </x:c>
      <x:c r="E250" s="111" t="str">
        <x:v>C</x:v>
      </x:c>
      <x:c r="F250" s="51" t="str">
        <x:v>C</x:v>
      </x:c>
    </x:row>
    <x:row r="251">
      <x:c r="A251" s="50" t="str">
        <x:v>ES</x:v>
      </x:c>
      <x:c r="B251" s="111" t="str">
        <x:v>ES</x:v>
      </x:c>
      <x:c r="C251" s="111" t="str">
        <x:v>COLATINA</x:v>
      </x:c>
      <x:c r="D251" s="111" t="n">
        <x:v>3201506</x:v>
      </x:c>
      <x:c r="E251" s="111" t="str">
        <x:v>C</x:v>
      </x:c>
      <x:c r="F251" s="51" t="str">
        <x:v>C</x:v>
      </x:c>
    </x:row>
    <x:row r="252">
      <x:c r="A252" s="50" t="str">
        <x:v>SP</x:v>
      </x:c>
      <x:c r="B252" s="111" t="str">
        <x:v>SPM</x:v>
      </x:c>
      <x:c r="C252" s="111" t="str">
        <x:v>ARUJA</x:v>
      </x:c>
      <x:c r="D252" s="111" t="n">
        <x:v>3503901</x:v>
      </x:c>
      <x:c r="E252" s="111" t="str">
        <x:v>C</x:v>
      </x:c>
      <x:c r="F252" s="51" t="str">
        <x:v>C</x:v>
      </x:c>
    </x:row>
    <x:row r="253">
      <x:c r="A253" s="50" t="str">
        <x:v>SP</x:v>
      </x:c>
      <x:c r="B253" s="111" t="str">
        <x:v>SPI</x:v>
      </x:c>
      <x:c r="C253" s="111" t="str">
        <x:v>LEME</x:v>
      </x:c>
      <x:c r="D253" s="111" t="n">
        <x:v>3526704</x:v>
      </x:c>
      <x:c r="E253" s="111" t="str">
        <x:v>C</x:v>
      </x:c>
      <x:c r="F253" s="51" t="str">
        <x:v>C</x:v>
      </x:c>
    </x:row>
    <x:row r="254">
      <x:c r="A254" s="50" t="str">
        <x:v>MG</x:v>
      </x:c>
      <x:c r="B254" s="111" t="str">
        <x:v>MG</x:v>
      </x:c>
      <x:c r="C254" s="111" t="str">
        <x:v>BARBACENA</x:v>
      </x:c>
      <x:c r="D254" s="111" t="n">
        <x:v>3105608</x:v>
      </x:c>
      <x:c r="E254" s="111" t="str">
        <x:v>C</x:v>
      </x:c>
      <x:c r="F254" s="51" t="str">
        <x:v>C</x:v>
      </x:c>
    </x:row>
    <x:row r="255">
      <x:c r="A255" s="50" t="str">
        <x:v>MS</x:v>
      </x:c>
      <x:c r="B255" s="111" t="str">
        <x:v>MS</x:v>
      </x:c>
      <x:c r="C255" s="111" t="str">
        <x:v>TRES LAGOAS</x:v>
      </x:c>
      <x:c r="D255" s="111" t="n">
        <x:v>5008305</x:v>
      </x:c>
      <x:c r="E255" s="111" t="str">
        <x:v>C</x:v>
      </x:c>
      <x:c r="F255" s="51" t="str">
        <x:v>C</x:v>
      </x:c>
    </x:row>
    <x:row r="256">
      <x:c r="A256" s="50" t="str">
        <x:v>PR</x:v>
      </x:c>
      <x:c r="B256" s="111" t="str">
        <x:v>PR</x:v>
      </x:c>
      <x:c r="C256" s="111" t="str">
        <x:v>ALMIRANTE TAMANDARE</x:v>
      </x:c>
      <x:c r="D256" s="111" t="n">
        <x:v>4100400</x:v>
      </x:c>
      <x:c r="E256" s="111" t="str">
        <x:v>C</x:v>
      </x:c>
      <x:c r="F256" s="51" t="str">
        <x:v>C</x:v>
      </x:c>
    </x:row>
    <x:row r="257">
      <x:c r="A257" s="50" t="str">
        <x:v>SP</x:v>
      </x:c>
      <x:c r="B257" s="111" t="str">
        <x:v>SPI</x:v>
      </x:c>
      <x:c r="C257" s="111" t="str">
        <x:v>SAO JOAO DA BOA VISTA</x:v>
      </x:c>
      <x:c r="D257" s="111" t="n">
        <x:v>3549102</x:v>
      </x:c>
      <x:c r="E257" s="111" t="str">
        <x:v>C</x:v>
      </x:c>
      <x:c r="F257" s="51" t="str">
        <x:v>C</x:v>
      </x:c>
    </x:row>
    <x:row r="258">
      <x:c r="A258" s="50" t="str">
        <x:v>BA</x:v>
      </x:c>
      <x:c r="B258" s="111" t="str">
        <x:v>BA</x:v>
      </x:c>
      <x:c r="C258" s="111" t="str">
        <x:v>SIMOES FILHO</x:v>
      </x:c>
      <x:c r="D258" s="111" t="n">
        <x:v>2930709</x:v>
      </x:c>
      <x:c r="E258" s="111" t="str">
        <x:v>C</x:v>
      </x:c>
      <x:c r="F258" s="51" t="str">
        <x:v>C</x:v>
      </x:c>
    </x:row>
    <x:row r="259">
      <x:c r="A259" s="50" t="str">
        <x:v>MG</x:v>
      </x:c>
      <x:c r="B259" s="111" t="str">
        <x:v>MG</x:v>
      </x:c>
      <x:c r="C259" s="111" t="str">
        <x:v>BOM DESPACHO</x:v>
      </x:c>
      <x:c r="D259" s="111" t="n">
        <x:v>3107406</x:v>
      </x:c>
      <x:c r="E259" s="111" t="str">
        <x:v>C</x:v>
      </x:c>
      <x:c r="F259" s="51" t="str">
        <x:v>-</x:v>
      </x:c>
    </x:row>
    <x:row r="260">
      <x:c r="A260" s="50" t="str">
        <x:v>MG</x:v>
      </x:c>
      <x:c r="B260" s="111" t="str">
        <x:v>MG</x:v>
      </x:c>
      <x:c r="C260" s="111" t="str">
        <x:v>ARAXA</x:v>
      </x:c>
      <x:c r="D260" s="111" t="n">
        <x:v>3104007</x:v>
      </x:c>
      <x:c r="E260" s="111" t="str">
        <x:v>C</x:v>
      </x:c>
      <x:c r="F260" s="51" t="str">
        <x:v>C</x:v>
      </x:c>
    </x:row>
    <x:row r="261">
      <x:c r="A261" s="50" t="str">
        <x:v>SP</x:v>
      </x:c>
      <x:c r="B261" s="111" t="str">
        <x:v>SPM</x:v>
      </x:c>
      <x:c r="C261" s="111" t="str">
        <x:v>CAIEIRAS</x:v>
      </x:c>
      <x:c r="D261" s="111" t="n">
        <x:v>3509007</x:v>
      </x:c>
      <x:c r="E261" s="111" t="str">
        <x:v>C</x:v>
      </x:c>
      <x:c r="F261" s="51" t="str">
        <x:v>C</x:v>
      </x:c>
    </x:row>
    <x:row r="262">
      <x:c r="A262" s="50" t="str">
        <x:v>SP</x:v>
      </x:c>
      <x:c r="B262" s="111" t="str">
        <x:v>SPI</x:v>
      </x:c>
      <x:c r="C262" s="111" t="str">
        <x:v>VOTUPORANGA</x:v>
      </x:c>
      <x:c r="D262" s="111" t="n">
        <x:v>3557105</x:v>
      </x:c>
      <x:c r="E262" s="111" t="str">
        <x:v>C</x:v>
      </x:c>
      <x:c r="F262" s="51" t="str">
        <x:v>C</x:v>
      </x:c>
    </x:row>
    <x:row r="263">
      <x:c r="A263" s="50" t="str">
        <x:v>MG</x:v>
      </x:c>
      <x:c r="B263" s="111" t="str">
        <x:v>MG</x:v>
      </x:c>
      <x:c r="C263" s="111" t="str">
        <x:v>LAGOA DA PRATA</x:v>
      </x:c>
      <x:c r="D263" s="111" t="n">
        <x:v>3137205</x:v>
      </x:c>
      <x:c r="E263" s="111" t="str">
        <x:v>C</x:v>
      </x:c>
      <x:c r="F263" s="51" t="str">
        <x:v>C</x:v>
      </x:c>
    </x:row>
    <x:row r="264">
      <x:c r="A264" s="50" t="str">
        <x:v>MG</x:v>
      </x:c>
      <x:c r="B264" s="111" t="str">
        <x:v>MG</x:v>
      </x:c>
      <x:c r="C264" s="111" t="str">
        <x:v>MURIAE</x:v>
      </x:c>
      <x:c r="D264" s="111" t="n">
        <x:v>3143906</x:v>
      </x:c>
      <x:c r="E264" s="111" t="str">
        <x:v>C</x:v>
      </x:c>
      <x:c r="F264" s="51" t="str">
        <x:v>C</x:v>
      </x:c>
    </x:row>
    <x:row r="265">
      <x:c r="A265" s="50" t="str">
        <x:v>MG</x:v>
      </x:c>
      <x:c r="B265" s="111" t="str">
        <x:v>MG</x:v>
      </x:c>
      <x:c r="C265" s="111" t="str">
        <x:v>ARAGUARI</x:v>
      </x:c>
      <x:c r="D265" s="111" t="n">
        <x:v>3103504</x:v>
      </x:c>
      <x:c r="E265" s="111" t="str">
        <x:v>C</x:v>
      </x:c>
      <x:c r="F265" s="51" t="str">
        <x:v>C</x:v>
      </x:c>
    </x:row>
    <x:row r="266">
      <x:c r="A266" s="50" t="str">
        <x:v>AL</x:v>
      </x:c>
      <x:c r="B266" s="111" t="str">
        <x:v>AL</x:v>
      </x:c>
      <x:c r="C266" s="111" t="str">
        <x:v>ARAPIRACA</x:v>
      </x:c>
      <x:c r="D266" s="111" t="n">
        <x:v>2700300</x:v>
      </x:c>
      <x:c r="E266" s="111" t="str">
        <x:v>C</x:v>
      </x:c>
      <x:c r="F266" s="51" t="str">
        <x:v>C</x:v>
      </x:c>
    </x:row>
    <x:row r="267">
      <x:c r="A267" s="50" t="str">
        <x:v>PR</x:v>
      </x:c>
      <x:c r="B267" s="111" t="str">
        <x:v>PR</x:v>
      </x:c>
      <x:c r="C267" s="111" t="str">
        <x:v>SARANDI</x:v>
      </x:c>
      <x:c r="D267" s="111" t="n">
        <x:v>4126256</x:v>
      </x:c>
      <x:c r="E267" s="111" t="str">
        <x:v>C</x:v>
      </x:c>
      <x:c r="F267" s="51" t="str">
        <x:v>C</x:v>
      </x:c>
    </x:row>
    <x:row r="268">
      <x:c r="A268" s="50" t="str">
        <x:v>BA</x:v>
      </x:c>
      <x:c r="B268" s="111" t="str">
        <x:v>BA</x:v>
      </x:c>
      <x:c r="C268" s="111" t="str">
        <x:v>PORTO SEGURO</x:v>
      </x:c>
      <x:c r="D268" s="111" t="n">
        <x:v>2925303</x:v>
      </x:c>
      <x:c r="E268" s="111" t="str">
        <x:v>C</x:v>
      </x:c>
      <x:c r="F268" s="51" t="str">
        <x:v>C</x:v>
      </x:c>
    </x:row>
    <x:row r="269">
      <x:c r="A269" s="50" t="str">
        <x:v>SP</x:v>
      </x:c>
      <x:c r="B269" s="111" t="str">
        <x:v>SPI</x:v>
      </x:c>
      <x:c r="C269" s="111" t="str">
        <x:v>SAO ROQUE</x:v>
      </x:c>
      <x:c r="D269" s="111" t="n">
        <x:v>3550605</x:v>
      </x:c>
      <x:c r="E269" s="111" t="str">
        <x:v>C</x:v>
      </x:c>
      <x:c r="F269" s="51" t="str">
        <x:v>C</x:v>
      </x:c>
    </x:row>
    <x:row r="270">
      <x:c r="A270" s="50" t="str">
        <x:v>MG</x:v>
      </x:c>
      <x:c r="B270" s="111" t="str">
        <x:v>MG</x:v>
      </x:c>
      <x:c r="C270" s="111" t="str">
        <x:v>CORONEL FABRICIANO</x:v>
      </x:c>
      <x:c r="D270" s="111" t="n">
        <x:v>3119401</x:v>
      </x:c>
      <x:c r="E270" s="111" t="str">
        <x:v>C</x:v>
      </x:c>
      <x:c r="F270" s="51" t="str">
        <x:v>C</x:v>
      </x:c>
    </x:row>
    <x:row r="271">
      <x:c r="A271" s="50" t="str">
        <x:v>PR</x:v>
      </x:c>
      <x:c r="B271" s="111" t="str">
        <x:v>PR</x:v>
      </x:c>
      <x:c r="C271" s="111" t="str">
        <x:v>CAMPO MOURAO</x:v>
      </x:c>
      <x:c r="D271" s="111" t="n">
        <x:v>4104303</x:v>
      </x:c>
      <x:c r="E271" s="111" t="str">
        <x:v>C</x:v>
      </x:c>
      <x:c r="F271" s="51" t="str">
        <x:v>C</x:v>
      </x:c>
    </x:row>
    <x:row r="272">
      <x:c r="A272" s="50" t="str">
        <x:v>RS</x:v>
      </x:c>
      <x:c r="B272" s="111" t="str">
        <x:v>RS</x:v>
      </x:c>
      <x:c r="C272" s="111" t="str">
        <x:v>URUGUAIANA</x:v>
      </x:c>
      <x:c r="D272" s="111" t="n">
        <x:v>4322400</x:v>
      </x:c>
      <x:c r="E272" s="111" t="str">
        <x:v>C</x:v>
      </x:c>
      <x:c r="F272" s="51" t="str">
        <x:v>C</x:v>
      </x:c>
    </x:row>
    <x:row r="273">
      <x:c r="A273" s="50" t="str">
        <x:v>BA</x:v>
      </x:c>
      <x:c r="B273" s="111" t="str">
        <x:v>BA</x:v>
      </x:c>
      <x:c r="C273" s="111" t="str">
        <x:v>TEIXEIRA DE FREITAS</x:v>
      </x:c>
      <x:c r="D273" s="111" t="n">
        <x:v>2931350</x:v>
      </x:c>
      <x:c r="E273" s="111" t="str">
        <x:v>C</x:v>
      </x:c>
      <x:c r="F273" s="51" t="str">
        <x:v>C</x:v>
      </x:c>
    </x:row>
    <x:row r="274">
      <x:c r="A274" s="50" t="str">
        <x:v>RJ</x:v>
      </x:c>
      <x:c r="B274" s="111" t="str">
        <x:v>RJ</x:v>
      </x:c>
      <x:c r="C274" s="111" t="str">
        <x:v>QUEIMADOS</x:v>
      </x:c>
      <x:c r="D274" s="111" t="n">
        <x:v>3304144</x:v>
      </x:c>
      <x:c r="E274" s="111" t="str">
        <x:v>C</x:v>
      </x:c>
      <x:c r="F274" s="51" t="str">
        <x:v>C</x:v>
      </x:c>
    </x:row>
    <x:row r="275">
      <x:c r="A275" s="50" t="str">
        <x:v>MT</x:v>
      </x:c>
      <x:c r="B275" s="111" t="str">
        <x:v>MT</x:v>
      </x:c>
      <x:c r="C275" s="111" t="str">
        <x:v>SORRISO</x:v>
      </x:c>
      <x:c r="D275" s="111" t="n">
        <x:v>5107925</x:v>
      </x:c>
      <x:c r="E275" s="111" t="str">
        <x:v>C</x:v>
      </x:c>
      <x:c r="F275" s="51" t="str">
        <x:v>C</x:v>
      </x:c>
    </x:row>
    <x:row r="276">
      <x:c r="A276" s="50" t="str">
        <x:v>SP</x:v>
      </x:c>
      <x:c r="B276" s="111" t="str">
        <x:v>SPM</x:v>
      </x:c>
      <x:c r="C276" s="111" t="str">
        <x:v>MAIRIPORA</x:v>
      </x:c>
      <x:c r="D276" s="111" t="n">
        <x:v>3528502</x:v>
      </x:c>
      <x:c r="E276" s="111" t="str">
        <x:v>C</x:v>
      </x:c>
      <x:c r="F276" s="51" t="str">
        <x:v>C</x:v>
      </x:c>
    </x:row>
    <x:row r="277">
      <x:c r="A277" s="50" t="str">
        <x:v>GO</x:v>
      </x:c>
      <x:c r="B277" s="111" t="str">
        <x:v>GO</x:v>
      </x:c>
      <x:c r="C277" s="111" t="str">
        <x:v>CATALAO</x:v>
      </x:c>
      <x:c r="D277" s="111" t="n">
        <x:v>5205109</x:v>
      </x:c>
      <x:c r="E277" s="111" t="str">
        <x:v>C</x:v>
      </x:c>
      <x:c r="F277" s="51" t="str">
        <x:v>C</x:v>
      </x:c>
    </x:row>
    <x:row r="278">
      <x:c r="A278" s="50" t="str">
        <x:v>SP</x:v>
      </x:c>
      <x:c r="B278" s="111" t="str">
        <x:v>SPI</x:v>
      </x:c>
      <x:c r="C278" s="111" t="str">
        <x:v>VINHEDO</x:v>
      </x:c>
      <x:c r="D278" s="111" t="n">
        <x:v>3556701</x:v>
      </x:c>
      <x:c r="E278" s="111" t="str">
        <x:v>C</x:v>
      </x:c>
      <x:c r="F278" s="51" t="str">
        <x:v>C</x:v>
      </x:c>
    </x:row>
    <x:row r="279">
      <x:c r="A279" s="50" t="str">
        <x:v>MG</x:v>
      </x:c>
      <x:c r="B279" s="111" t="str">
        <x:v>MG</x:v>
      </x:c>
      <x:c r="C279" s="111" t="str">
        <x:v>ITAJUBA</x:v>
      </x:c>
      <x:c r="D279" s="111" t="n">
        <x:v>3132404</x:v>
      </x:c>
      <x:c r="E279" s="111" t="str">
        <x:v>C</x:v>
      </x:c>
      <x:c r="F279" s="51" t="str">
        <x:v>C</x:v>
      </x:c>
    </x:row>
    <x:row r="280">
      <x:c r="A280" s="50" t="str">
        <x:v>PE</x:v>
      </x:c>
      <x:c r="B280" s="111" t="str">
        <x:v>PE</x:v>
      </x:c>
      <x:c r="C280" s="111" t="str">
        <x:v>CAMARAGIBE</x:v>
      </x:c>
      <x:c r="D280" s="111" t="n">
        <x:v>2603454</x:v>
      </x:c>
      <x:c r="E280" s="111" t="str">
        <x:v>C</x:v>
      </x:c>
      <x:c r="F280" s="51" t="str">
        <x:v>C</x:v>
      </x:c>
    </x:row>
    <x:row r="281">
      <x:c r="A281" s="50" t="str">
        <x:v>MG</x:v>
      </x:c>
      <x:c r="B281" s="111" t="str">
        <x:v>MG</x:v>
      </x:c>
      <x:c r="C281" s="111" t="str">
        <x:v>PEDRO LEOPOLDO</x:v>
      </x:c>
      <x:c r="D281" s="111" t="n">
        <x:v>3149309</x:v>
      </x:c>
      <x:c r="E281" s="111" t="str">
        <x:v>C</x:v>
      </x:c>
      <x:c r="F281" s="51" t="str">
        <x:v>C</x:v>
      </x:c>
    </x:row>
    <x:row r="282">
      <x:c r="A282" s="50" t="str">
        <x:v>PR</x:v>
      </x:c>
      <x:c r="B282" s="111" t="str">
        <x:v>PR</x:v>
      </x:c>
      <x:c r="C282" s="111" t="str">
        <x:v>FRANCISCO BELTRAO</x:v>
      </x:c>
      <x:c r="D282" s="111" t="n">
        <x:v>4108403</x:v>
      </x:c>
      <x:c r="E282" s="111" t="str">
        <x:v>C</x:v>
      </x:c>
      <x:c r="F282" s="51" t="str">
        <x:v>C</x:v>
      </x:c>
    </x:row>
    <x:row r="283">
      <x:c r="A283" s="50" t="str">
        <x:v>PR</x:v>
      </x:c>
      <x:c r="B283" s="111" t="str">
        <x:v>PR</x:v>
      </x:c>
      <x:c r="C283" s="111" t="str">
        <x:v>PATO BRANCO</x:v>
      </x:c>
      <x:c r="D283" s="111" t="n">
        <x:v>4118501</x:v>
      </x:c>
      <x:c r="E283" s="111" t="str">
        <x:v>C</x:v>
      </x:c>
      <x:c r="F283" s="51" t="str">
        <x:v>C</x:v>
      </x:c>
    </x:row>
    <x:row r="284">
      <x:c r="A284" s="50" t="str">
        <x:v>SC</x:v>
      </x:c>
      <x:c r="B284" s="111" t="str">
        <x:v>SC</x:v>
      </x:c>
      <x:c r="C284" s="111" t="str">
        <x:v>NAVEGANTES</x:v>
      </x:c>
      <x:c r="D284" s="111" t="n">
        <x:v>4211306</x:v>
      </x:c>
      <x:c r="E284" s="111" t="str">
        <x:v>C</x:v>
      </x:c>
      <x:c r="F284" s="51" t="str">
        <x:v>C</x:v>
      </x:c>
    </x:row>
    <x:row r="285">
      <x:c r="A285" s="50" t="str">
        <x:v>MG</x:v>
      </x:c>
      <x:c r="B285" s="111" t="str">
        <x:v>MG</x:v>
      </x:c>
      <x:c r="C285" s="111" t="str">
        <x:v>ITABIRA</x:v>
      </x:c>
      <x:c r="D285" s="111" t="n">
        <x:v>3131703</x:v>
      </x:c>
      <x:c r="E285" s="111" t="str">
        <x:v>C</x:v>
      </x:c>
      <x:c r="F285" s="51" t="str">
        <x:v>C</x:v>
      </x:c>
    </x:row>
    <x:row r="286">
      <x:c r="A286" s="50" t="str">
        <x:v>MG</x:v>
      </x:c>
      <x:c r="B286" s="111" t="str">
        <x:v>MG</x:v>
      </x:c>
      <x:c r="C286" s="111" t="str">
        <x:v>PASSOS</x:v>
      </x:c>
      <x:c r="D286" s="111" t="n">
        <x:v>3147907</x:v>
      </x:c>
      <x:c r="E286" s="111" t="str">
        <x:v>C</x:v>
      </x:c>
      <x:c r="F286" s="51" t="str">
        <x:v>C</x:v>
      </x:c>
    </x:row>
    <x:row r="287">
      <x:c r="A287" s="50" t="str">
        <x:v>MG</x:v>
      </x:c>
      <x:c r="B287" s="111" t="str">
        <x:v>MG</x:v>
      </x:c>
      <x:c r="C287" s="111" t="str">
        <x:v>ITAUNA</x:v>
      </x:c>
      <x:c r="D287" s="111" t="n">
        <x:v>3133808</x:v>
      </x:c>
      <x:c r="E287" s="111" t="str">
        <x:v>C</x:v>
      </x:c>
      <x:c r="F287" s="51" t="str">
        <x:v>C</x:v>
      </x:c>
    </x:row>
    <x:row r="288">
      <x:c r="A288" s="50" t="str">
        <x:v>PR</x:v>
      </x:c>
      <x:c r="B288" s="111" t="str">
        <x:v>PR</x:v>
      </x:c>
      <x:c r="C288" s="111" t="str">
        <x:v>CAMBE</x:v>
      </x:c>
      <x:c r="D288" s="111" t="n">
        <x:v>4103701</x:v>
      </x:c>
      <x:c r="E288" s="111" t="str">
        <x:v>C</x:v>
      </x:c>
      <x:c r="F288" s="51" t="str">
        <x:v>C</x:v>
      </x:c>
    </x:row>
    <x:row r="289">
      <x:c r="A289" s="50" t="str">
        <x:v>RJ</x:v>
      </x:c>
      <x:c r="B289" s="111" t="str">
        <x:v>RJ</x:v>
      </x:c>
      <x:c r="C289" s="111" t="str">
        <x:v>ITAGUAI</x:v>
      </x:c>
      <x:c r="D289" s="111" t="n">
        <x:v>3302007</x:v>
      </x:c>
      <x:c r="E289" s="111" t="str">
        <x:v>C</x:v>
      </x:c>
      <x:c r="F289" s="51" t="str">
        <x:v>C</x:v>
      </x:c>
    </x:row>
    <x:row r="290">
      <x:c r="A290" s="50" t="str">
        <x:v>SP</x:v>
      </x:c>
      <x:c r="B290" s="111" t="str">
        <x:v>SPI</x:v>
      </x:c>
      <x:c r="C290" s="111" t="str">
        <x:v>AVARE</x:v>
      </x:c>
      <x:c r="D290" s="111" t="n">
        <x:v>3504503</x:v>
      </x:c>
      <x:c r="E290" s="111" t="str">
        <x:v>C</x:v>
      </x:c>
      <x:c r="F290" s="51" t="str">
        <x:v>C</x:v>
      </x:c>
    </x:row>
    <x:row r="291">
      <x:c r="A291" s="50" t="str">
        <x:v>RS</x:v>
      </x:c>
      <x:c r="B291" s="111" t="str">
        <x:v>RS</x:v>
      </x:c>
      <x:c r="C291" s="111" t="str">
        <x:v>SAPIRANGA</x:v>
      </x:c>
      <x:c r="D291" s="111" t="n">
        <x:v>4319901</x:v>
      </x:c>
      <x:c r="E291" s="111" t="str">
        <x:v>C</x:v>
      </x:c>
      <x:c r="F291" s="51" t="str">
        <x:v>C</x:v>
      </x:c>
    </x:row>
    <x:row r="292">
      <x:c r="A292" s="50" t="str">
        <x:v>SE</x:v>
      </x:c>
      <x:c r="B292" s="111" t="str">
        <x:v>SE</x:v>
      </x:c>
      <x:c r="C292" s="111" t="str">
        <x:v>NOSSA SENHORA DO SOCORRO</x:v>
      </x:c>
      <x:c r="D292" s="111" t="n">
        <x:v>2804805</x:v>
      </x:c>
      <x:c r="E292" s="111" t="str">
        <x:v>C</x:v>
      </x:c>
      <x:c r="F292" s="51" t="str">
        <x:v>C</x:v>
      </x:c>
    </x:row>
    <x:row r="293">
      <x:c r="A293" s="50" t="str">
        <x:v>MG</x:v>
      </x:c>
      <x:c r="B293" s="111" t="str">
        <x:v>MG</x:v>
      </x:c>
      <x:c r="C293" s="111" t="str">
        <x:v>PARA DE MINAS</x:v>
      </x:c>
      <x:c r="D293" s="111" t="n">
        <x:v>3147105</x:v>
      </x:c>
      <x:c r="E293" s="111" t="str">
        <x:v>C</x:v>
      </x:c>
      <x:c r="F293" s="51" t="str">
        <x:v>C</x:v>
      </x:c>
    </x:row>
    <x:row r="294">
      <x:c r="A294" s="50" t="str">
        <x:v>SP</x:v>
      </x:c>
      <x:c r="B294" s="111" t="str">
        <x:v>SPI</x:v>
      </x:c>
      <x:c r="C294" s="111" t="str">
        <x:v>PEDREIRA</x:v>
      </x:c>
      <x:c r="D294" s="111" t="n">
        <x:v>3537107</x:v>
      </x:c>
      <x:c r="E294" s="111" t="str">
        <x:v>C</x:v>
      </x:c>
      <x:c r="F294" s="51" t="str">
        <x:v>C</x:v>
      </x:c>
    </x:row>
    <x:row r="295">
      <x:c r="A295" s="50" t="str">
        <x:v>PR</x:v>
      </x:c>
      <x:c r="B295" s="111" t="str">
        <x:v>PR</x:v>
      </x:c>
      <x:c r="C295" s="111" t="str">
        <x:v>CIANORTE</x:v>
      </x:c>
      <x:c r="D295" s="111" t="n">
        <x:v>4105508</x:v>
      </x:c>
      <x:c r="E295" s="111" t="str">
        <x:v>C</x:v>
      </x:c>
      <x:c r="F295" s="51" t="str">
        <x:v>B</x:v>
      </x:c>
    </x:row>
    <x:row r="296">
      <x:c r="A296" s="50" t="str">
        <x:v>SP</x:v>
      </x:c>
      <x:c r="B296" s="111" t="str">
        <x:v>SPM</x:v>
      </x:c>
      <x:c r="C296" s="111" t="str">
        <x:v>ITANHAEM</x:v>
      </x:c>
      <x:c r="D296" s="111" t="n">
        <x:v>3522109</x:v>
      </x:c>
      <x:c r="E296" s="111" t="str">
        <x:v>C</x:v>
      </x:c>
      <x:c r="F296" s="51" t="str">
        <x:v>C</x:v>
      </x:c>
    </x:row>
    <x:row r="297">
      <x:c r="A297" s="50" t="str">
        <x:v>PA</x:v>
      </x:c>
      <x:c r="B297" s="111" t="str">
        <x:v>PA</x:v>
      </x:c>
      <x:c r="C297" s="111" t="str">
        <x:v>CASTANHAL</x:v>
      </x:c>
      <x:c r="D297" s="111" t="n">
        <x:v>1502400</x:v>
      </x:c>
      <x:c r="E297" s="111" t="str">
        <x:v>C</x:v>
      </x:c>
      <x:c r="F297" s="51" t="str">
        <x:v>C</x:v>
      </x:c>
    </x:row>
    <x:row r="298">
      <x:c r="A298" s="50" t="str">
        <x:v>SC</x:v>
      </x:c>
      <x:c r="B298" s="111" t="str">
        <x:v>SC</x:v>
      </x:c>
      <x:c r="C298" s="111" t="str">
        <x:v>BIGUACU</x:v>
      </x:c>
      <x:c r="D298" s="111" t="n">
        <x:v>4202305</x:v>
      </x:c>
      <x:c r="E298" s="111" t="str">
        <x:v>C</x:v>
      </x:c>
      <x:c r="F298" s="51" t="str">
        <x:v>C</x:v>
      </x:c>
    </x:row>
    <x:row r="299">
      <x:c r="A299" s="50" t="str">
        <x:v>SC</x:v>
      </x:c>
      <x:c r="B299" s="111" t="str">
        <x:v>SC</x:v>
      </x:c>
      <x:c r="C299" s="111" t="str">
        <x:v>RIO DO SUL</x:v>
      </x:c>
      <x:c r="D299" s="111" t="n">
        <x:v>4214805</x:v>
      </x:c>
      <x:c r="E299" s="111" t="str">
        <x:v>C</x:v>
      </x:c>
      <x:c r="F299" s="51" t="str">
        <x:v>C</x:v>
      </x:c>
    </x:row>
    <x:row r="300">
      <x:c r="A300" s="50" t="str">
        <x:v>RJ</x:v>
      </x:c>
      <x:c r="B300" s="111" t="str">
        <x:v>RJ</x:v>
      </x:c>
      <x:c r="C300" s="111" t="str">
        <x:v>ARARUAMA</x:v>
      </x:c>
      <x:c r="D300" s="111" t="n">
        <x:v>3300209</x:v>
      </x:c>
      <x:c r="E300" s="111" t="str">
        <x:v>C</x:v>
      </x:c>
      <x:c r="F300" s="51" t="str">
        <x:v>C</x:v>
      </x:c>
    </x:row>
    <x:row r="301">
      <x:c r="A301" s="50" t="str">
        <x:v>BA</x:v>
      </x:c>
      <x:c r="B301" s="111" t="str">
        <x:v>BA</x:v>
      </x:c>
      <x:c r="C301" s="111" t="str">
        <x:v>BARREIRAS</x:v>
      </x:c>
      <x:c r="D301" s="111" t="n">
        <x:v>2903201</x:v>
      </x:c>
      <x:c r="E301" s="111" t="str">
        <x:v>C</x:v>
      </x:c>
      <x:c r="F301" s="51" t="str">
        <x:v>C</x:v>
      </x:c>
    </x:row>
    <x:row r="302">
      <x:c r="A302" s="50" t="str">
        <x:v>PR</x:v>
      </x:c>
      <x:c r="B302" s="111" t="str">
        <x:v>PR</x:v>
      </x:c>
      <x:c r="C302" s="111" t="str">
        <x:v>PIRAQUARA</x:v>
      </x:c>
      <x:c r="D302" s="111" t="n">
        <x:v>4119509</x:v>
      </x:c>
      <x:c r="E302" s="111" t="str">
        <x:v>C</x:v>
      </x:c>
      <x:c r="F302" s="51" t="str">
        <x:v>C</x:v>
      </x:c>
    </x:row>
    <x:row r="303">
      <x:c r="A303" s="50" t="str">
        <x:v>SC</x:v>
      </x:c>
      <x:c r="B303" s="111" t="str">
        <x:v>SC</x:v>
      </x:c>
      <x:c r="C303" s="111" t="str">
        <x:v>CAMBORIU</x:v>
      </x:c>
      <x:c r="D303" s="111" t="n">
        <x:v>4203204</x:v>
      </x:c>
      <x:c r="E303" s="111" t="str">
        <x:v>C</x:v>
      </x:c>
      <x:c r="F303" s="51" t="str">
        <x:v>C</x:v>
      </x:c>
    </x:row>
    <x:row r="304">
      <x:c r="A304" s="50" t="str">
        <x:v>SP</x:v>
      </x:c>
      <x:c r="B304" s="111" t="str">
        <x:v>SPI</x:v>
      </x:c>
      <x:c r="C304" s="111" t="str">
        <x:v>CACAPAVA</x:v>
      </x:c>
      <x:c r="D304" s="111" t="n">
        <x:v>3508504</x:v>
      </x:c>
      <x:c r="E304" s="111" t="str">
        <x:v>C</x:v>
      </x:c>
      <x:c r="F304" s="51" t="str">
        <x:v>C</x:v>
      </x:c>
    </x:row>
    <x:row r="305">
      <x:c r="A305" s="50" t="str">
        <x:v>CE</x:v>
      </x:c>
      <x:c r="B305" s="111" t="str">
        <x:v>CE</x:v>
      </x:c>
      <x:c r="C305" s="111" t="str">
        <x:v>SOBRAL</x:v>
      </x:c>
      <x:c r="D305" s="111" t="n">
        <x:v>2312908</x:v>
      </x:c>
      <x:c r="E305" s="111" t="str">
        <x:v>C</x:v>
      </x:c>
      <x:c r="F305" s="51" t="str">
        <x:v>C</x:v>
      </x:c>
    </x:row>
    <x:row r="306">
      <x:c r="A306" s="50" t="str">
        <x:v>SP</x:v>
      </x:c>
      <x:c r="B306" s="111" t="str">
        <x:v>SPI</x:v>
      </x:c>
      <x:c r="C306" s="111" t="str">
        <x:v>AMPARO</x:v>
      </x:c>
      <x:c r="D306" s="111" t="n">
        <x:v>3501905</x:v>
      </x:c>
      <x:c r="E306" s="111" t="str">
        <x:v>C</x:v>
      </x:c>
      <x:c r="F306" s="51" t="str">
        <x:v>C</x:v>
      </x:c>
    </x:row>
    <x:row r="307">
      <x:c r="A307" s="50" t="str">
        <x:v>SP</x:v>
      </x:c>
      <x:c r="B307" s="111" t="str">
        <x:v>SPI</x:v>
      </x:c>
      <x:c r="C307" s="111" t="str">
        <x:v>UBATUBA</x:v>
      </x:c>
      <x:c r="D307" s="111" t="n">
        <x:v>3555406</x:v>
      </x:c>
      <x:c r="E307" s="111" t="str">
        <x:v>C</x:v>
      </x:c>
      <x:c r="F307" s="51" t="str">
        <x:v>C</x:v>
      </x:c>
    </x:row>
    <x:row r="308">
      <x:c r="A308" s="50" t="str">
        <x:v>MG</x:v>
      </x:c>
      <x:c r="B308" s="111" t="str">
        <x:v>MG</x:v>
      </x:c>
      <x:c r="C308" s="111" t="str">
        <x:v>VICOSA</x:v>
      </x:c>
      <x:c r="D308" s="111" t="n">
        <x:v>3171303</x:v>
      </x:c>
      <x:c r="E308" s="111" t="str">
        <x:v>C</x:v>
      </x:c>
      <x:c r="F308" s="51" t="str">
        <x:v>C</x:v>
      </x:c>
    </x:row>
    <x:row r="309">
      <x:c r="A309" s="50" t="str">
        <x:v>GO</x:v>
      </x:c>
      <x:c r="B309" s="111" t="str">
        <x:v>GO</x:v>
      </x:c>
      <x:c r="C309" s="111" t="str">
        <x:v>ITUMBIARA</x:v>
      </x:c>
      <x:c r="D309" s="111" t="n">
        <x:v>5211503</x:v>
      </x:c>
      <x:c r="E309" s="111" t="str">
        <x:v>C</x:v>
      </x:c>
      <x:c r="F309" s="51" t="str">
        <x:v>C</x:v>
      </x:c>
    </x:row>
    <x:row r="310">
      <x:c r="A310" s="50" t="str">
        <x:v>ES</x:v>
      </x:c>
      <x:c r="B310" s="111" t="str">
        <x:v>ES</x:v>
      </x:c>
      <x:c r="C310" s="111" t="str">
        <x:v>SAO MATEUS</x:v>
      </x:c>
      <x:c r="D310" s="111" t="n">
        <x:v>3204906</x:v>
      </x:c>
      <x:c r="E310" s="111" t="str">
        <x:v>C</x:v>
      </x:c>
      <x:c r="F310" s="51" t="str">
        <x:v>C</x:v>
      </x:c>
    </x:row>
    <x:row r="311">
      <x:c r="A311" s="50" t="str">
        <x:v>RJ</x:v>
      </x:c>
      <x:c r="B311" s="111" t="str">
        <x:v>RJ</x:v>
      </x:c>
      <x:c r="C311" s="111" t="str">
        <x:v>ITAPERUNA</x:v>
      </x:c>
      <x:c r="D311" s="111" t="n">
        <x:v>3302205</x:v>
      </x:c>
      <x:c r="E311" s="111" t="str">
        <x:v>C</x:v>
      </x:c>
      <x:c r="F311" s="51" t="str">
        <x:v>C</x:v>
      </x:c>
    </x:row>
    <x:row r="312">
      <x:c r="A312" s="50" t="str">
        <x:v>MG</x:v>
      </x:c>
      <x:c r="B312" s="111" t="str">
        <x:v>MG</x:v>
      </x:c>
      <x:c r="C312" s="111" t="str">
        <x:v>ITUIUTABA</x:v>
      </x:c>
      <x:c r="D312" s="111" t="n">
        <x:v>3134202</x:v>
      </x:c>
      <x:c r="E312" s="111" t="str">
        <x:v>C</x:v>
      </x:c>
      <x:c r="F312" s="51" t="str">
        <x:v>C</x:v>
      </x:c>
    </x:row>
    <x:row r="313">
      <x:c r="A313" s="50" t="str">
        <x:v>GO</x:v>
      </x:c>
      <x:c r="B313" s="111" t="str">
        <x:v>GO</x:v>
      </x:c>
      <x:c r="C313" s="111" t="str">
        <x:v>JATAI</x:v>
      </x:c>
      <x:c r="D313" s="111" t="n">
        <x:v>5211909</x:v>
      </x:c>
      <x:c r="E313" s="111" t="str">
        <x:v>C</x:v>
      </x:c>
      <x:c r="F313" s="51" t="str">
        <x:v>C</x:v>
      </x:c>
    </x:row>
    <x:row r="314">
      <x:c r="A314" s="50" t="str">
        <x:v>GO</x:v>
      </x:c>
      <x:c r="B314" s="111" t="str">
        <x:v>GO</x:v>
      </x:c>
      <x:c r="C314" s="111" t="str">
        <x:v>TRINDADE</x:v>
      </x:c>
      <x:c r="D314" s="111" t="n">
        <x:v>5221403</x:v>
      </x:c>
      <x:c r="E314" s="111" t="str">
        <x:v>C</x:v>
      </x:c>
      <x:c r="F314" s="51" t="str">
        <x:v>C</x:v>
      </x:c>
    </x:row>
    <x:row r="315">
      <x:c r="A315" s="50" t="str">
        <x:v>SC</x:v>
      </x:c>
      <x:c r="B315" s="111" t="str">
        <x:v>SC</x:v>
      </x:c>
      <x:c r="C315" s="111" t="str">
        <x:v>CONCORDIA</x:v>
      </x:c>
      <x:c r="D315" s="111" t="n">
        <x:v>4204301</x:v>
      </x:c>
      <x:c r="E315" s="111" t="str">
        <x:v>C</x:v>
      </x:c>
      <x:c r="F315" s="51" t="str">
        <x:v>C</x:v>
      </x:c>
    </x:row>
    <x:row r="316">
      <x:c r="A316" s="50" t="str">
        <x:v>MG</x:v>
      </x:c>
      <x:c r="B316" s="111" t="str">
        <x:v>MG</x:v>
      </x:c>
      <x:c r="C316" s="111" t="str">
        <x:v>SAO JOAO DEL REI</x:v>
      </x:c>
      <x:c r="D316" s="111" t="n">
        <x:v>3162500</x:v>
      </x:c>
      <x:c r="E316" s="111" t="str">
        <x:v>C</x:v>
      </x:c>
      <x:c r="F316" s="51" t="str">
        <x:v>C</x:v>
      </x:c>
    </x:row>
    <x:row r="317">
      <x:c r="A317" s="50" t="str">
        <x:v>RS</x:v>
      </x:c>
      <x:c r="B317" s="111" t="str">
        <x:v>RS</x:v>
      </x:c>
      <x:c r="C317" s="111" t="str">
        <x:v>IJUI</x:v>
      </x:c>
      <x:c r="D317" s="111" t="n">
        <x:v>4310207</x:v>
      </x:c>
      <x:c r="E317" s="111" t="str">
        <x:v>C</x:v>
      </x:c>
      <x:c r="F317" s="51" t="str">
        <x:v>C</x:v>
      </x:c>
    </x:row>
    <x:row r="318">
      <x:c r="A318" s="50" t="str">
        <x:v>SP</x:v>
      </x:c>
      <x:c r="B318" s="111" t="str">
        <x:v>SPI</x:v>
      </x:c>
      <x:c r="C318" s="111" t="str">
        <x:v>SAO SEBASTIAO</x:v>
      </x:c>
      <x:c r="D318" s="111" t="n">
        <x:v>3550704</x:v>
      </x:c>
      <x:c r="E318" s="111" t="str">
        <x:v>C</x:v>
      </x:c>
      <x:c r="F318" s="51" t="str">
        <x:v>C</x:v>
      </x:c>
    </x:row>
    <x:row r="319">
      <x:c r="A319" s="50" t="str">
        <x:v>SP</x:v>
      </x:c>
      <x:c r="B319" s="111" t="str">
        <x:v>SPI</x:v>
      </x:c>
      <x:c r="C319" s="111" t="str">
        <x:v>CAMPO LIMPO PAULISTA</x:v>
      </x:c>
      <x:c r="D319" s="111" t="n">
        <x:v>3509601</x:v>
      </x:c>
      <x:c r="E319" s="111" t="str">
        <x:v>C</x:v>
      </x:c>
      <x:c r="F319" s="51" t="str">
        <x:v>C</x:v>
      </x:c>
    </x:row>
    <x:row r="320">
      <x:c r="A320" s="50" t="str">
        <x:v>RS</x:v>
      </x:c>
      <x:c r="B320" s="111" t="str">
        <x:v>RS</x:v>
      </x:c>
      <x:c r="C320" s="111" t="str">
        <x:v>BAGE</x:v>
      </x:c>
      <x:c r="D320" s="111" t="n">
        <x:v>4301602</x:v>
      </x:c>
      <x:c r="E320" s="111" t="str">
        <x:v>C</x:v>
      </x:c>
      <x:c r="F320" s="51" t="str">
        <x:v>C</x:v>
      </x:c>
    </x:row>
    <x:row r="321">
      <x:c r="A321" s="50" t="str">
        <x:v>RS</x:v>
      </x:c>
      <x:c r="B321" s="111" t="str">
        <x:v>RS</x:v>
      </x:c>
      <x:c r="C321" s="111" t="str">
        <x:v>ESTEIO</x:v>
      </x:c>
      <x:c r="D321" s="111" t="n">
        <x:v>4307708</x:v>
      </x:c>
      <x:c r="E321" s="111" t="str">
        <x:v>C</x:v>
      </x:c>
      <x:c r="F321" s="51" t="str">
        <x:v>C</x:v>
      </x:c>
    </x:row>
    <x:row r="322">
      <x:c r="A322" s="50" t="str">
        <x:v>SP</x:v>
      </x:c>
      <x:c r="B322" s="111" t="str">
        <x:v>SPI</x:v>
      </x:c>
      <x:c r="C322" s="111" t="str">
        <x:v>LINS</x:v>
      </x:c>
      <x:c r="D322" s="111" t="n">
        <x:v>3527108</x:v>
      </x:c>
      <x:c r="E322" s="111" t="str">
        <x:v>C</x:v>
      </x:c>
      <x:c r="F322" s="51" t="str">
        <x:v>C</x:v>
      </x:c>
    </x:row>
    <x:row r="323">
      <x:c r="A323" s="50" t="str">
        <x:v>RO</x:v>
      </x:c>
      <x:c r="B323" s="111" t="str">
        <x:v>RO</x:v>
      </x:c>
      <x:c r="C323" s="111" t="str">
        <x:v>VILHENA</x:v>
      </x:c>
      <x:c r="D323" s="111" t="n">
        <x:v>1100304</x:v>
      </x:c>
      <x:c r="E323" s="111" t="str">
        <x:v>C</x:v>
      </x:c>
      <x:c r="F323" s="51" t="str">
        <x:v>C</x:v>
      </x:c>
    </x:row>
    <x:row r="324">
      <x:c r="A324" s="50" t="str">
        <x:v>SC</x:v>
      </x:c>
      <x:c r="B324" s="111" t="str">
        <x:v>SC</x:v>
      </x:c>
      <x:c r="C324" s="111" t="str">
        <x:v>SAO BENTO DO SUL</x:v>
      </x:c>
      <x:c r="D324" s="111" t="n">
        <x:v>4215802</x:v>
      </x:c>
      <x:c r="E324" s="111" t="str">
        <x:v>C</x:v>
      </x:c>
      <x:c r="F324" s="51" t="str">
        <x:v>C</x:v>
      </x:c>
    </x:row>
    <x:row r="325">
      <x:c r="A325" s="50" t="str">
        <x:v>SC</x:v>
      </x:c>
      <x:c r="B325" s="111" t="str">
        <x:v>SC</x:v>
      </x:c>
      <x:c r="C325" s="111" t="str">
        <x:v>ITAPEMA</x:v>
      </x:c>
      <x:c r="D325" s="111" t="n">
        <x:v>4208302</x:v>
      </x:c>
      <x:c r="E325" s="111" t="str">
        <x:v>C</x:v>
      </x:c>
      <x:c r="F325" s="51" t="str">
        <x:v>C</x:v>
      </x:c>
    </x:row>
    <x:row r="326">
      <x:c r="A326" s="50" t="str">
        <x:v>RO</x:v>
      </x:c>
      <x:c r="B326" s="111" t="str">
        <x:v>RO</x:v>
      </x:c>
      <x:c r="C326" s="111" t="str">
        <x:v>JI-PARANA</x:v>
      </x:c>
      <x:c r="D326" s="111" t="n">
        <x:v>1100122</x:v>
      </x:c>
      <x:c r="E326" s="111" t="str">
        <x:v>C</x:v>
      </x:c>
      <x:c r="F326" s="51" t="str">
        <x:v>C</x:v>
      </x:c>
    </x:row>
    <x:row r="327">
      <x:c r="A327" s="50" t="str">
        <x:v>SP</x:v>
      </x:c>
      <x:c r="B327" s="111" t="str">
        <x:v>SPI</x:v>
      </x:c>
      <x:c r="C327" s="111" t="str">
        <x:v>TUPA</x:v>
      </x:c>
      <x:c r="D327" s="111" t="n">
        <x:v>3555000</x:v>
      </x:c>
      <x:c r="E327" s="111" t="str">
        <x:v>C</x:v>
      </x:c>
      <x:c r="F327" s="51" t="str">
        <x:v>C</x:v>
      </x:c>
    </x:row>
    <x:row r="328">
      <x:c r="A328" s="50" t="str">
        <x:v>BA</x:v>
      </x:c>
      <x:c r="B328" s="111" t="str">
        <x:v>BA</x:v>
      </x:c>
      <x:c r="C328" s="111" t="str">
        <x:v>ALAGOINHAS</x:v>
      </x:c>
      <x:c r="D328" s="111" t="n">
        <x:v>2900702</x:v>
      </x:c>
      <x:c r="E328" s="111" t="str">
        <x:v>C</x:v>
      </x:c>
      <x:c r="F328" s="51" t="str">
        <x:v>C</x:v>
      </x:c>
    </x:row>
    <x:row r="329">
      <x:c r="A329" s="50" t="str">
        <x:v>SP</x:v>
      </x:c>
      <x:c r="B329" s="111" t="str">
        <x:v>SPI</x:v>
      </x:c>
      <x:c r="C329" s="111" t="str">
        <x:v>PIRASSUNUNGA</x:v>
      </x:c>
      <x:c r="D329" s="111" t="n">
        <x:v>3539301</x:v>
      </x:c>
      <x:c r="E329" s="111" t="str">
        <x:v>C</x:v>
      </x:c>
      <x:c r="F329" s="51" t="str">
        <x:v>C</x:v>
      </x:c>
    </x:row>
    <x:row r="330">
      <x:c r="A330" s="50" t="str">
        <x:v>BA</x:v>
      </x:c>
      <x:c r="B330" s="111" t="str">
        <x:v>BA</x:v>
      </x:c>
      <x:c r="C330" s="111" t="str">
        <x:v>LUIS EDUARDO MAGALHAES</x:v>
      </x:c>
      <x:c r="D330" s="111" t="n">
        <x:v>2919553</x:v>
      </x:c>
      <x:c r="E330" s="111" t="str">
        <x:v>C</x:v>
      </x:c>
      <x:c r="F330" s="51" t="str">
        <x:v>C</x:v>
      </x:c>
    </x:row>
    <x:row r="331">
      <x:c r="A331" s="50" t="str">
        <x:v>GO</x:v>
      </x:c>
      <x:c r="B331" s="111" t="str">
        <x:v>GO</x:v>
      </x:c>
      <x:c r="C331" s="111" t="str">
        <x:v>SENADOR CANEDO</x:v>
      </x:c>
      <x:c r="D331" s="111" t="n">
        <x:v>5220454</x:v>
      </x:c>
      <x:c r="E331" s="111" t="str">
        <x:v>C</x:v>
      </x:c>
      <x:c r="F331" s="51" t="str">
        <x:v>C</x:v>
      </x:c>
    </x:row>
    <x:row r="332">
      <x:c r="A332" s="50" t="str">
        <x:v>SP</x:v>
      </x:c>
      <x:c r="B332" s="111" t="str">
        <x:v>SPI</x:v>
      </x:c>
      <x:c r="C332" s="111" t="str">
        <x:v>FERNANDOPOLIS</x:v>
      </x:c>
      <x:c r="D332" s="111" t="n">
        <x:v>3515509</x:v>
      </x:c>
      <x:c r="E332" s="111" t="str">
        <x:v>C</x:v>
      </x:c>
      <x:c r="F332" s="51" t="str">
        <x:v>C</x:v>
      </x:c>
    </x:row>
    <x:row r="333">
      <x:c r="A333" s="50" t="str">
        <x:v>SP</x:v>
      </x:c>
      <x:c r="B333" s="111" t="str">
        <x:v>SPI</x:v>
      </x:c>
      <x:c r="C333" s="111" t="str">
        <x:v>ITAPEVA</x:v>
      </x:c>
      <x:c r="D333" s="111" t="n">
        <x:v>3522406</x:v>
      </x:c>
      <x:c r="E333" s="111" t="str">
        <x:v>C</x:v>
      </x:c>
      <x:c r="F333" s="51" t="str">
        <x:v>C</x:v>
      </x:c>
    </x:row>
    <x:row r="334">
      <x:c r="A334" s="50" t="str">
        <x:v>SP</x:v>
      </x:c>
      <x:c r="B334" s="111" t="str">
        <x:v>SPI</x:v>
      </x:c>
      <x:c r="C334" s="111" t="str">
        <x:v>BEBEDOURO</x:v>
      </x:c>
      <x:c r="D334" s="111" t="n">
        <x:v>3506102</x:v>
      </x:c>
      <x:c r="E334" s="111" t="str">
        <x:v>C</x:v>
      </x:c>
      <x:c r="F334" s="51" t="str">
        <x:v>C</x:v>
      </x:c>
    </x:row>
    <x:row r="335">
      <x:c r="A335" s="50" t="str">
        <x:v>SP</x:v>
      </x:c>
      <x:c r="B335" s="111" t="str">
        <x:v>SPI</x:v>
      </x:c>
      <x:c r="C335" s="111" t="str">
        <x:v>JABOTICABAL</x:v>
      </x:c>
      <x:c r="D335" s="111" t="n">
        <x:v>3524303</x:v>
      </x:c>
      <x:c r="E335" s="111" t="str">
        <x:v>C</x:v>
      </x:c>
      <x:c r="F335" s="51" t="str">
        <x:v>C</x:v>
      </x:c>
    </x:row>
    <x:row r="336">
      <x:c r="A336" s="50" t="str">
        <x:v>BA</x:v>
      </x:c>
      <x:c r="B336" s="111" t="str">
        <x:v>BA</x:v>
      </x:c>
      <x:c r="C336" s="111" t="str">
        <x:v>JEQUIE</x:v>
      </x:c>
      <x:c r="D336" s="111" t="n">
        <x:v>2918001</x:v>
      </x:c>
      <x:c r="E336" s="111" t="str">
        <x:v>C</x:v>
      </x:c>
      <x:c r="F336" s="51" t="str">
        <x:v>C</x:v>
      </x:c>
    </x:row>
    <x:row r="337">
      <x:c r="A337" s="50" t="str">
        <x:v>RS</x:v>
      </x:c>
      <x:c r="B337" s="111" t="str">
        <x:v>RS</x:v>
      </x:c>
      <x:c r="C337" s="111" t="str">
        <x:v>GUAIBA</x:v>
      </x:c>
      <x:c r="D337" s="111" t="n">
        <x:v>4309308</x:v>
      </x:c>
      <x:c r="E337" s="111" t="str">
        <x:v>C</x:v>
      </x:c>
      <x:c r="F337" s="51" t="str">
        <x:v>C</x:v>
      </x:c>
    </x:row>
    <x:row r="338">
      <x:c r="A338" s="50" t="str">
        <x:v>MG</x:v>
      </x:c>
      <x:c r="B338" s="111" t="str">
        <x:v>MG</x:v>
      </x:c>
      <x:c r="C338" s="111" t="str">
        <x:v>TIMOTEO</x:v>
      </x:c>
      <x:c r="D338" s="111" t="n">
        <x:v>3168705</x:v>
      </x:c>
      <x:c r="E338" s="111" t="str">
        <x:v>C</x:v>
      </x:c>
      <x:c r="F338" s="51" t="str">
        <x:v>C</x:v>
      </x:c>
    </x:row>
    <x:row r="339">
      <x:c r="A339" s="50" t="str">
        <x:v>MT</x:v>
      </x:c>
      <x:c r="B339" s="111" t="str">
        <x:v>MT</x:v>
      </x:c>
      <x:c r="C339" s="111" t="str">
        <x:v>TANGARA DA SERRA</x:v>
      </x:c>
      <x:c r="D339" s="111" t="n">
        <x:v>5107958</x:v>
      </x:c>
      <x:c r="E339" s="111" t="str">
        <x:v>C</x:v>
      </x:c>
      <x:c r="F339" s="51" t="str">
        <x:v>C</x:v>
      </x:c>
    </x:row>
    <x:row r="340">
      <x:c r="A340" s="50" t="str">
        <x:v>SP</x:v>
      </x:c>
      <x:c r="B340" s="111" t="str">
        <x:v>SPI</x:v>
      </x:c>
      <x:c r="C340" s="111" t="str">
        <x:v>JAGUARIUNA</x:v>
      </x:c>
      <x:c r="D340" s="111" t="n">
        <x:v>3524709</x:v>
      </x:c>
      <x:c r="E340" s="111" t="str">
        <x:v>C</x:v>
      </x:c>
      <x:c r="F340" s="51" t="str">
        <x:v>C</x:v>
      </x:c>
    </x:row>
    <x:row r="341">
      <x:c r="A341" s="50" t="str">
        <x:v>MG</x:v>
      </x:c>
      <x:c r="B341" s="111" t="str">
        <x:v>MG</x:v>
      </x:c>
      <x:c r="C341" s="111" t="str">
        <x:v>PARACATU</x:v>
      </x:c>
      <x:c r="D341" s="111" t="n">
        <x:v>3147006</x:v>
      </x:c>
      <x:c r="E341" s="111" t="str">
        <x:v>C</x:v>
      </x:c>
      <x:c r="F341" s="51" t="str">
        <x:v>C</x:v>
      </x:c>
    </x:row>
    <x:row r="342">
      <x:c r="A342" s="50" t="str">
        <x:v>SP</x:v>
      </x:c>
      <x:c r="B342" s="111" t="str">
        <x:v>SPI</x:v>
      </x:c>
      <x:c r="C342" s="111" t="str">
        <x:v>ITAPOLIS</x:v>
      </x:c>
      <x:c r="D342" s="111" t="n">
        <x:v>3522703</x:v>
      </x:c>
      <x:c r="E342" s="111" t="str">
        <x:v>C</x:v>
      </x:c>
      <x:c r="F342" s="51" t="str">
        <x:v>C</x:v>
      </x:c>
    </x:row>
    <x:row r="343">
      <x:c r="A343" s="50" t="str">
        <x:v>MG</x:v>
      </x:c>
      <x:c r="B343" s="111" t="str">
        <x:v>MG</x:v>
      </x:c>
      <x:c r="C343" s="111" t="str">
        <x:v>JOAO MONLEVADE</x:v>
      </x:c>
      <x:c r="D343" s="111" t="n">
        <x:v>3136207</x:v>
      </x:c>
      <x:c r="E343" s="111" t="str">
        <x:v>C</x:v>
      </x:c>
      <x:c r="F343" s="51" t="str">
        <x:v>C</x:v>
      </x:c>
    </x:row>
    <x:row r="344">
      <x:c r="A344" s="50" t="str">
        <x:v>SP</x:v>
      </x:c>
      <x:c r="B344" s="111" t="str">
        <x:v>SPI</x:v>
      </x:c>
      <x:c r="C344" s="111" t="str">
        <x:v>ITAPIRA</x:v>
      </x:c>
      <x:c r="D344" s="111" t="n">
        <x:v>3522604</x:v>
      </x:c>
      <x:c r="E344" s="111" t="str">
        <x:v>C</x:v>
      </x:c>
      <x:c r="F344" s="51" t="str">
        <x:v>C</x:v>
      </x:c>
    </x:row>
    <x:row r="345">
      <x:c r="A345" s="50" t="str">
        <x:v>SP</x:v>
      </x:c>
      <x:c r="B345" s="111" t="str">
        <x:v>SPI</x:v>
      </x:c>
      <x:c r="C345" s="111" t="str">
        <x:v>ITUPEVA</x:v>
      </x:c>
      <x:c r="D345" s="111" t="n">
        <x:v>3524006</x:v>
      </x:c>
      <x:c r="E345" s="111" t="str">
        <x:v>C</x:v>
      </x:c>
      <x:c r="F345" s="51" t="str">
        <x:v>C</x:v>
      </x:c>
    </x:row>
    <x:row r="346">
      <x:c r="A346" s="50" t="str">
        <x:v>RS</x:v>
      </x:c>
      <x:c r="B346" s="111" t="str">
        <x:v>RS</x:v>
      </x:c>
      <x:c r="C346" s="111" t="str">
        <x:v>CAMPO BOM</x:v>
      </x:c>
      <x:c r="D346" s="111" t="n">
        <x:v>4303905</x:v>
      </x:c>
      <x:c r="E346" s="111" t="str">
        <x:v>C</x:v>
      </x:c>
      <x:c r="F346" s="51" t="str">
        <x:v>C</x:v>
      </x:c>
    </x:row>
    <x:row r="347">
      <x:c r="A347" s="50" t="str">
        <x:v>MG</x:v>
      </x:c>
      <x:c r="B347" s="111" t="str">
        <x:v>MG</x:v>
      </x:c>
      <x:c r="C347" s="111" t="str">
        <x:v>LAGOA SANTA</x:v>
      </x:c>
      <x:c r="D347" s="111" t="n">
        <x:v>3137601</x:v>
      </x:c>
      <x:c r="E347" s="111" t="str">
        <x:v>C</x:v>
      </x:c>
      <x:c r="F347" s="51" t="str">
        <x:v>C</x:v>
      </x:c>
    </x:row>
    <x:row r="348">
      <x:c r="A348" s="50" t="str">
        <x:v>RJ</x:v>
      </x:c>
      <x:c r="B348" s="111" t="str">
        <x:v>RJ</x:v>
      </x:c>
      <x:c r="C348" s="111" t="str">
        <x:v>SAO PEDRO DA ALDEIA</x:v>
      </x:c>
      <x:c r="D348" s="111" t="n">
        <x:v>3305208</x:v>
      </x:c>
      <x:c r="E348" s="111" t="str">
        <x:v>C</x:v>
      </x:c>
      <x:c r="F348" s="51" t="str">
        <x:v>C</x:v>
      </x:c>
    </x:row>
    <x:row r="349">
      <x:c r="A349" s="50" t="str">
        <x:v>PR</x:v>
      </x:c>
      <x:c r="B349" s="111" t="str">
        <x:v>PR</x:v>
      </x:c>
      <x:c r="C349" s="111" t="str">
        <x:v>MARECHAL CANDIDO RONDON</x:v>
      </x:c>
      <x:c r="D349" s="111" t="n">
        <x:v>4114609</x:v>
      </x:c>
      <x:c r="E349" s="111" t="str">
        <x:v>C</x:v>
      </x:c>
      <x:c r="F349" s="51" t="str">
        <x:v>C</x:v>
      </x:c>
    </x:row>
    <x:row r="350">
      <x:c r="A350" s="50" t="str">
        <x:v>BA</x:v>
      </x:c>
      <x:c r="B350" s="111" t="str">
        <x:v>BA</x:v>
      </x:c>
      <x:c r="C350" s="111" t="str">
        <x:v>EUNAPOLIS</x:v>
      </x:c>
      <x:c r="D350" s="111" t="n">
        <x:v>2910727</x:v>
      </x:c>
      <x:c r="E350" s="111" t="str">
        <x:v>C</x:v>
      </x:c>
      <x:c r="F350" s="51" t="str">
        <x:v>C</x:v>
      </x:c>
    </x:row>
    <x:row r="351">
      <x:c r="A351" s="50" t="str">
        <x:v>MG</x:v>
      </x:c>
      <x:c r="B351" s="111" t="str">
        <x:v>MG</x:v>
      </x:c>
      <x:c r="C351" s="111" t="str">
        <x:v>CATAGUASES</x:v>
      </x:c>
      <x:c r="D351" s="111" t="n">
        <x:v>3115300</x:v>
      </x:c>
      <x:c r="E351" s="111" t="str">
        <x:v>C</x:v>
      </x:c>
      <x:c r="F351" s="51" t="str">
        <x:v>C</x:v>
      </x:c>
    </x:row>
    <x:row r="352">
      <x:c r="A352" s="50" t="str">
        <x:v>ES</x:v>
      </x:c>
      <x:c r="B352" s="111" t="str">
        <x:v>ES</x:v>
      </x:c>
      <x:c r="C352" s="111" t="str">
        <x:v>ARACRUZ</x:v>
      </x:c>
      <x:c r="D352" s="111" t="n">
        <x:v>3200607</x:v>
      </x:c>
      <x:c r="E352" s="111" t="str">
        <x:v>C</x:v>
      </x:c>
      <x:c r="F352" s="51" t="str">
        <x:v>C</x:v>
      </x:c>
    </x:row>
    <x:row r="353">
      <x:c r="A353" s="50" t="str">
        <x:v>MG</x:v>
      </x:c>
      <x:c r="B353" s="111" t="str">
        <x:v>MG</x:v>
      </x:c>
      <x:c r="C353" s="111" t="str">
        <x:v>MANHUACU</x:v>
      </x:c>
      <x:c r="D353" s="111" t="n">
        <x:v>3139409</x:v>
      </x:c>
      <x:c r="E353" s="111" t="str">
        <x:v>C</x:v>
      </x:c>
      <x:c r="F353" s="51" t="str">
        <x:v>C</x:v>
      </x:c>
    </x:row>
    <x:row r="354">
      <x:c r="A354" s="50" t="str">
        <x:v>SP</x:v>
      </x:c>
      <x:c r="B354" s="111" t="str">
        <x:v>SPI</x:v>
      </x:c>
      <x:c r="C354" s="111" t="str">
        <x:v>PENAPOLIS</x:v>
      </x:c>
      <x:c r="D354" s="111" t="n">
        <x:v>3537305</x:v>
      </x:c>
      <x:c r="E354" s="111" t="str">
        <x:v>C</x:v>
      </x:c>
      <x:c r="F354" s="51" t="str">
        <x:v>C</x:v>
      </x:c>
    </x:row>
    <x:row r="355">
      <x:c r="A355" s="50" t="str">
        <x:v>MG</x:v>
      </x:c>
      <x:c r="B355" s="111" t="str">
        <x:v>MG</x:v>
      </x:c>
      <x:c r="C355" s="111" t="str">
        <x:v>PATROCINIO</x:v>
      </x:c>
      <x:c r="D355" s="111" t="n">
        <x:v>3148103</x:v>
      </x:c>
      <x:c r="E355" s="111" t="str">
        <x:v>C</x:v>
      </x:c>
      <x:c r="F355" s="51" t="str">
        <x:v>C</x:v>
      </x:c>
    </x:row>
    <x:row r="356">
      <x:c r="A356" s="50" t="str">
        <x:v>SP</x:v>
      </x:c>
      <x:c r="B356" s="111" t="str">
        <x:v>SPI</x:v>
      </x:c>
      <x:c r="C356" s="111" t="str">
        <x:v>LORENA</x:v>
      </x:c>
      <x:c r="D356" s="111" t="n">
        <x:v>3527207</x:v>
      </x:c>
      <x:c r="E356" s="111" t="str">
        <x:v>C</x:v>
      </x:c>
      <x:c r="F356" s="51" t="str">
        <x:v>C</x:v>
      </x:c>
    </x:row>
    <x:row r="357">
      <x:c r="A357" s="50" t="str">
        <x:v>RS</x:v>
      </x:c>
      <x:c r="B357" s="111" t="str">
        <x:v>RS</x:v>
      </x:c>
      <x:c r="C357" s="111" t="str">
        <x:v>FARROUPILHA</x:v>
      </x:c>
      <x:c r="D357" s="111" t="n">
        <x:v>4307906</x:v>
      </x:c>
      <x:c r="E357" s="111" t="str">
        <x:v>C</x:v>
      </x:c>
      <x:c r="F357" s="51" t="str">
        <x:v>C</x:v>
      </x:c>
    </x:row>
    <x:row r="358">
      <x:c r="A358" s="50" t="str">
        <x:v>RS</x:v>
      </x:c>
      <x:c r="B358" s="111" t="str">
        <x:v>RS</x:v>
      </x:c>
      <x:c r="C358" s="111" t="str">
        <x:v>SANTA ROSA</x:v>
      </x:c>
      <x:c r="D358" s="111" t="n">
        <x:v>4317202</x:v>
      </x:c>
      <x:c r="E358" s="111" t="str">
        <x:v>C</x:v>
      </x:c>
      <x:c r="F358" s="51" t="str">
        <x:v>C</x:v>
      </x:c>
    </x:row>
    <x:row r="359">
      <x:c r="A359" s="50" t="str">
        <x:v>SP</x:v>
      </x:c>
      <x:c r="B359" s="111" t="str">
        <x:v>SPI</x:v>
      </x:c>
      <x:c r="C359" s="111" t="str">
        <x:v>PORTO FERREIRA</x:v>
      </x:c>
      <x:c r="D359" s="111" t="n">
        <x:v>3540705</x:v>
      </x:c>
      <x:c r="E359" s="111" t="str">
        <x:v>C</x:v>
      </x:c>
      <x:c r="F359" s="51" t="str">
        <x:v>C</x:v>
      </x:c>
    </x:row>
    <x:row r="360">
      <x:c r="A360" s="50" t="str">
        <x:v>SC</x:v>
      </x:c>
      <x:c r="B360" s="111" t="str">
        <x:v>SC</x:v>
      </x:c>
      <x:c r="C360" s="111" t="str">
        <x:v>INDAIAL</x:v>
      </x:c>
      <x:c r="D360" s="111" t="n">
        <x:v>4207502</x:v>
      </x:c>
      <x:c r="E360" s="111" t="str">
        <x:v>C</x:v>
      </x:c>
      <x:c r="F360" s="51" t="str">
        <x:v>C</x:v>
      </x:c>
    </x:row>
    <x:row r="361">
      <x:c r="A361" s="50" t="str">
        <x:v>MG</x:v>
      </x:c>
      <x:c r="B361" s="111" t="str">
        <x:v>MG</x:v>
      </x:c>
      <x:c r="C361" s="111" t="str">
        <x:v>MACHADO</x:v>
      </x:c>
      <x:c r="D361" s="111" t="n">
        <x:v>3139003</x:v>
      </x:c>
      <x:c r="E361" s="111" t="str">
        <x:v>C</x:v>
      </x:c>
      <x:c r="F361" s="51" t="str">
        <x:v>C</x:v>
      </x:c>
    </x:row>
    <x:row r="362">
      <x:c r="A362" s="50" t="str">
        <x:v>GO</x:v>
      </x:c>
      <x:c r="B362" s="111" t="str">
        <x:v>BSB</x:v>
      </x:c>
      <x:c r="C362" s="111" t="str">
        <x:v>FORMOSA</x:v>
      </x:c>
      <x:c r="D362" s="111" t="n">
        <x:v>5208004</x:v>
      </x:c>
      <x:c r="E362" s="111" t="str">
        <x:v>C</x:v>
      </x:c>
      <x:c r="F362" s="51" t="str">
        <x:v>C</x:v>
      </x:c>
    </x:row>
    <x:row r="363">
      <x:c r="A363" s="50" t="str">
        <x:v>SP</x:v>
      </x:c>
      <x:c r="B363" s="111" t="str">
        <x:v>SPI</x:v>
      </x:c>
      <x:c r="C363" s="111" t="str">
        <x:v>LENCOIS PAULISTA</x:v>
      </x:c>
      <x:c r="D363" s="111" t="n">
        <x:v>3526803</x:v>
      </x:c>
      <x:c r="E363" s="111" t="str">
        <x:v>C</x:v>
      </x:c>
      <x:c r="F363" s="51" t="str">
        <x:v>C</x:v>
      </x:c>
    </x:row>
    <x:row r="364">
      <x:c r="A364" s="50" t="str">
        <x:v>MG</x:v>
      </x:c>
      <x:c r="B364" s="111" t="str">
        <x:v>MG</x:v>
      </x:c>
      <x:c r="C364" s="111" t="str">
        <x:v>TRES CORACOES</x:v>
      </x:c>
      <x:c r="D364" s="111" t="n">
        <x:v>3169307</x:v>
      </x:c>
      <x:c r="E364" s="111" t="str">
        <x:v>C</x:v>
      </x:c>
      <x:c r="F364" s="51" t="str">
        <x:v>C</x:v>
      </x:c>
    </x:row>
    <x:row r="365">
      <x:c r="A365" s="50" t="str">
        <x:v>MS</x:v>
      </x:c>
      <x:c r="B365" s="111" t="str">
        <x:v>MS</x:v>
      </x:c>
      <x:c r="C365" s="111" t="str">
        <x:v>CORUMBA</x:v>
      </x:c>
      <x:c r="D365" s="111" t="n">
        <x:v>5003207</x:v>
      </x:c>
      <x:c r="E365" s="111" t="str">
        <x:v>C</x:v>
      </x:c>
      <x:c r="F365" s="51" t="str">
        <x:v>C</x:v>
      </x:c>
    </x:row>
    <x:row r="366">
      <x:c r="A366" s="50" t="str">
        <x:v>MT</x:v>
      </x:c>
      <x:c r="B366" s="111" t="str">
        <x:v>MT</x:v>
      </x:c>
      <x:c r="C366" s="111" t="str">
        <x:v>LUCAS DO RIO VERDE</x:v>
      </x:c>
      <x:c r="D366" s="111" t="n">
        <x:v>5105259</x:v>
      </x:c>
      <x:c r="E366" s="111" t="str">
        <x:v>C</x:v>
      </x:c>
      <x:c r="F366" s="51" t="str">
        <x:v>C</x:v>
      </x:c>
    </x:row>
    <x:row r="367">
      <x:c r="A367" s="50" t="str">
        <x:v>RS</x:v>
      </x:c>
      <x:c r="B367" s="111" t="str">
        <x:v>RS</x:v>
      </x:c>
      <x:c r="C367" s="111" t="str">
        <x:v>SANTO ANGELO</x:v>
      </x:c>
      <x:c r="D367" s="111" t="n">
        <x:v>4317509</x:v>
      </x:c>
      <x:c r="E367" s="111" t="str">
        <x:v>C</x:v>
      </x:c>
      <x:c r="F367" s="51" t="str">
        <x:v>C</x:v>
      </x:c>
    </x:row>
    <x:row r="368">
      <x:c r="A368" s="50" t="str">
        <x:v>PE</x:v>
      </x:c>
      <x:c r="B368" s="111" t="str">
        <x:v>PE</x:v>
      </x:c>
      <x:c r="C368" s="111" t="str">
        <x:v>GARANHUNS</x:v>
      </x:c>
      <x:c r="D368" s="111" t="n">
        <x:v>2606002</x:v>
      </x:c>
      <x:c r="E368" s="111" t="str">
        <x:v>C</x:v>
      </x:c>
      <x:c r="F368" s="51" t="str">
        <x:v>C</x:v>
      </x:c>
    </x:row>
    <x:row r="369">
      <x:c r="A369" s="50" t="str">
        <x:v>MG</x:v>
      </x:c>
      <x:c r="B369" s="111" t="str">
        <x:v>MG</x:v>
      </x:c>
      <x:c r="C369" s="111" t="str">
        <x:v>FORMIGA</x:v>
      </x:c>
      <x:c r="D369" s="111" t="n">
        <x:v>3126109</x:v>
      </x:c>
      <x:c r="E369" s="111" t="str">
        <x:v>C</x:v>
      </x:c>
      <x:c r="F369" s="51" t="str">
        <x:v>C</x:v>
      </x:c>
    </x:row>
    <x:row r="370">
      <x:c r="A370" s="50" t="str">
        <x:v>BA</x:v>
      </x:c>
      <x:c r="B370" s="111" t="str">
        <x:v>BA</x:v>
      </x:c>
      <x:c r="C370" s="111" t="str">
        <x:v>SANTO ANTONIO DE JESUS</x:v>
      </x:c>
      <x:c r="D370" s="111" t="n">
        <x:v>2928703</x:v>
      </x:c>
      <x:c r="E370" s="111" t="str">
        <x:v>C</x:v>
      </x:c>
      <x:c r="F370" s="51" t="str">
        <x:v>C</x:v>
      </x:c>
    </x:row>
    <x:row r="371">
      <x:c r="A371" s="50" t="str">
        <x:v>MT</x:v>
      </x:c>
      <x:c r="B371" s="111" t="str">
        <x:v>MT</x:v>
      </x:c>
      <x:c r="C371" s="111" t="str">
        <x:v>PRIMAVERA DO LESTE</x:v>
      </x:c>
      <x:c r="D371" s="111" t="n">
        <x:v>5107040</x:v>
      </x:c>
      <x:c r="E371" s="111" t="str">
        <x:v>C</x:v>
      </x:c>
      <x:c r="F371" s="51" t="str">
        <x:v>C</x:v>
      </x:c>
    </x:row>
    <x:row r="372">
      <x:c r="A372" s="50" t="str">
        <x:v>GO</x:v>
      </x:c>
      <x:c r="B372" s="111" t="str">
        <x:v>GO</x:v>
      </x:c>
      <x:c r="C372" s="111" t="str">
        <x:v>CALDAS NOVAS</x:v>
      </x:c>
      <x:c r="D372" s="111" t="n">
        <x:v>5204508</x:v>
      </x:c>
      <x:c r="E372" s="111" t="str">
        <x:v>C</x:v>
      </x:c>
      <x:c r="F372" s="51" t="str">
        <x:v>C</x:v>
      </x:c>
    </x:row>
    <x:row r="373">
      <x:c r="A373" s="50" t="str">
        <x:v>SP</x:v>
      </x:c>
      <x:c r="B373" s="111" t="str">
        <x:v>SPI</x:v>
      </x:c>
      <x:c r="C373" s="111" t="str">
        <x:v>MIRASSOL</x:v>
      </x:c>
      <x:c r="D373" s="111" t="n">
        <x:v>3530300</x:v>
      </x:c>
      <x:c r="E373" s="111" t="str">
        <x:v>C</x:v>
      </x:c>
      <x:c r="F373" s="51" t="str">
        <x:v>C</x:v>
      </x:c>
    </x:row>
    <x:row r="374">
      <x:c r="A374" s="50" t="str">
        <x:v>SP</x:v>
      </x:c>
      <x:c r="B374" s="111" t="str">
        <x:v>SPI</x:v>
      </x:c>
      <x:c r="C374" s="111" t="str">
        <x:v>BOITUVA</x:v>
      </x:c>
      <x:c r="D374" s="111" t="n">
        <x:v>3507001</x:v>
      </x:c>
      <x:c r="E374" s="111" t="str">
        <x:v>C</x:v>
      </x:c>
      <x:c r="F374" s="51" t="str">
        <x:v>C</x:v>
      </x:c>
    </x:row>
    <x:row r="375">
      <x:c r="A375" s="50" t="str">
        <x:v>SP</x:v>
      </x:c>
      <x:c r="B375" s="111" t="str">
        <x:v>SPM</x:v>
      </x:c>
      <x:c r="C375" s="111" t="str">
        <x:v>PERUIBE</x:v>
      </x:c>
      <x:c r="D375" s="111" t="n">
        <x:v>3537602</x:v>
      </x:c>
      <x:c r="E375" s="111" t="str">
        <x:v>C</x:v>
      </x:c>
      <x:c r="F375" s="51" t="str">
        <x:v>C</x:v>
      </x:c>
    </x:row>
    <x:row r="376">
      <x:c r="A376" s="50" t="str">
        <x:v>RJ</x:v>
      </x:c>
      <x:c r="B376" s="111" t="str">
        <x:v>RJ</x:v>
      </x:c>
      <x:c r="C376" s="111" t="str">
        <x:v>TRES RIOS</x:v>
      </x:c>
      <x:c r="D376" s="111" t="n">
        <x:v>3306008</x:v>
      </x:c>
      <x:c r="E376" s="111" t="str">
        <x:v>C</x:v>
      </x:c>
      <x:c r="F376" s="51" t="str">
        <x:v>C</x:v>
      </x:c>
    </x:row>
    <x:row r="377">
      <x:c r="A377" s="50" t="str">
        <x:v>MG</x:v>
      </x:c>
      <x:c r="B377" s="111" t="str">
        <x:v>MG</x:v>
      </x:c>
      <x:c r="C377" s="111" t="str">
        <x:v>UNAI</x:v>
      </x:c>
      <x:c r="D377" s="111" t="n">
        <x:v>3170404</x:v>
      </x:c>
      <x:c r="E377" s="111" t="str">
        <x:v>C</x:v>
      </x:c>
      <x:c r="F377" s="51" t="str">
        <x:v>C</x:v>
      </x:c>
    </x:row>
    <x:row r="378">
      <x:c r="A378" s="50" t="str">
        <x:v>SP</x:v>
      </x:c>
      <x:c r="B378" s="111" t="str">
        <x:v>SPI</x:v>
      </x:c>
      <x:c r="C378" s="111" t="str">
        <x:v>CRUZEIRO</x:v>
      </x:c>
      <x:c r="D378" s="111" t="n">
        <x:v>3513405</x:v>
      </x:c>
      <x:c r="E378" s="111" t="str">
        <x:v>C</x:v>
      </x:c>
      <x:c r="F378" s="51" t="str">
        <x:v>C</x:v>
      </x:c>
    </x:row>
    <x:row r="379">
      <x:c r="A379" s="50" t="str">
        <x:v>SP</x:v>
      </x:c>
      <x:c r="B379" s="111" t="str">
        <x:v>SPI</x:v>
      </x:c>
      <x:c r="C379" s="111" t="str">
        <x:v>NOVA ODESSA</x:v>
      </x:c>
      <x:c r="D379" s="111" t="n">
        <x:v>3533403</x:v>
      </x:c>
      <x:c r="E379" s="111" t="str">
        <x:v>C</x:v>
      </x:c>
      <x:c r="F379" s="51" t="str">
        <x:v>C</x:v>
      </x:c>
    </x:row>
    <x:row r="380">
      <x:c r="A380" s="50" t="str">
        <x:v>RJ</x:v>
      </x:c>
      <x:c r="B380" s="111" t="str">
        <x:v>RJ</x:v>
      </x:c>
      <x:c r="C380" s="111" t="str">
        <x:v>BARRA DO PIRAI</x:v>
      </x:c>
      <x:c r="D380" s="111" t="n">
        <x:v>3300308</x:v>
      </x:c>
      <x:c r="E380" s="111" t="str">
        <x:v>C</x:v>
      </x:c>
      <x:c r="F380" s="51" t="str">
        <x:v>C</x:v>
      </x:c>
    </x:row>
    <x:row r="381">
      <x:c r="A381" s="50" t="str">
        <x:v>MG</x:v>
      </x:c>
      <x:c r="B381" s="111" t="str">
        <x:v>MG</x:v>
      </x:c>
      <x:c r="C381" s="111" t="str">
        <x:v>CARATINGA</x:v>
      </x:c>
      <x:c r="D381" s="111" t="n">
        <x:v>3113404</x:v>
      </x:c>
      <x:c r="E381" s="111" t="str">
        <x:v>C</x:v>
      </x:c>
      <x:c r="F381" s="51" t="str">
        <x:v>C</x:v>
      </x:c>
    </x:row>
    <x:row r="382">
      <x:c r="A382" s="50" t="str">
        <x:v>ES</x:v>
      </x:c>
      <x:c r="B382" s="111" t="str">
        <x:v>ES</x:v>
      </x:c>
      <x:c r="C382" s="111" t="str">
        <x:v>VIANA</x:v>
      </x:c>
      <x:c r="D382" s="111" t="n">
        <x:v>3205101</x:v>
      </x:c>
      <x:c r="E382" s="111" t="str">
        <x:v>C</x:v>
      </x:c>
      <x:c r="F382" s="51" t="str">
        <x:v>B</x:v>
      </x:c>
    </x:row>
    <x:row r="383">
      <x:c r="A383" s="50" t="str">
        <x:v>MG</x:v>
      </x:c>
      <x:c r="B383" s="111" t="str">
        <x:v>MG</x:v>
      </x:c>
      <x:c r="C383" s="111" t="str">
        <x:v>CURVELO</x:v>
      </x:c>
      <x:c r="D383" s="111" t="n">
        <x:v>3120904</x:v>
      </x:c>
      <x:c r="E383" s="111" t="str">
        <x:v>C</x:v>
      </x:c>
      <x:c r="F383" s="51" t="str">
        <x:v>C</x:v>
      </x:c>
    </x:row>
    <x:row r="384">
      <x:c r="A384" s="50" t="str">
        <x:v>RO</x:v>
      </x:c>
      <x:c r="B384" s="111" t="str">
        <x:v>RO</x:v>
      </x:c>
      <x:c r="C384" s="111" t="str">
        <x:v>ARIQUEMES</x:v>
      </x:c>
      <x:c r="D384" s="111" t="n">
        <x:v>1100023</x:v>
      </x:c>
      <x:c r="E384" s="111" t="str">
        <x:v>C</x:v>
      </x:c>
      <x:c r="F384" s="51" t="str">
        <x:v>C</x:v>
      </x:c>
    </x:row>
    <x:row r="385">
      <x:c r="A385" s="50" t="str">
        <x:v>PE</x:v>
      </x:c>
      <x:c r="B385" s="111" t="str">
        <x:v>PE</x:v>
      </x:c>
      <x:c r="C385" s="111" t="str">
        <x:v>SANTA CRUZ DO CAPIBARIBE</x:v>
      </x:c>
      <x:c r="D385" s="111" t="n">
        <x:v>2612505</x:v>
      </x:c>
      <x:c r="E385" s="111" t="str">
        <x:v>C</x:v>
      </x:c>
      <x:c r="F385" s="51" t="str">
        <x:v>C</x:v>
      </x:c>
    </x:row>
    <x:row r="386">
      <x:c r="A386" s="50" t="str">
        <x:v>RS</x:v>
      </x:c>
      <x:c r="B386" s="111" t="str">
        <x:v>RS</x:v>
      </x:c>
      <x:c r="C386" s="111" t="str">
        <x:v>CACHOEIRA DO SUL</x:v>
      </x:c>
      <x:c r="D386" s="111" t="n">
        <x:v>4303004</x:v>
      </x:c>
      <x:c r="E386" s="111" t="str">
        <x:v>C</x:v>
      </x:c>
      <x:c r="F386" s="51" t="str">
        <x:v>C</x:v>
      </x:c>
    </x:row>
    <x:row r="387">
      <x:c r="A387" s="50" t="str">
        <x:v>SP</x:v>
      </x:c>
      <x:c r="B387" s="111" t="str">
        <x:v>SPM</x:v>
      </x:c>
      <x:c r="C387" s="111" t="str">
        <x:v>VARGEM GRANDE PAULISTA</x:v>
      </x:c>
      <x:c r="D387" s="111" t="n">
        <x:v>3556453</x:v>
      </x:c>
      <x:c r="E387" s="111" t="str">
        <x:v>C</x:v>
      </x:c>
      <x:c r="F387" s="51" t="str">
        <x:v>C</x:v>
      </x:c>
    </x:row>
    <x:row r="388">
      <x:c r="A388" s="50" t="str">
        <x:v>MG</x:v>
      </x:c>
      <x:c r="B388" s="111" t="str">
        <x:v>MG</x:v>
      </x:c>
      <x:c r="C388" s="111" t="str">
        <x:v>SAO SEBASTIAO DO PARAISO</x:v>
      </x:c>
      <x:c r="D388" s="111" t="n">
        <x:v>3164704</x:v>
      </x:c>
      <x:c r="E388" s="111" t="str">
        <x:v>C</x:v>
      </x:c>
      <x:c r="F388" s="51" t="str">
        <x:v>C</x:v>
      </x:c>
    </x:row>
    <x:row r="389">
      <x:c r="A389" s="50" t="str">
        <x:v>SC</x:v>
      </x:c>
      <x:c r="B389" s="111" t="str">
        <x:v>SC</x:v>
      </x:c>
      <x:c r="C389" s="111" t="str">
        <x:v>ARARANGUA</x:v>
      </x:c>
      <x:c r="D389" s="111" t="n">
        <x:v>4201406</x:v>
      </x:c>
      <x:c r="E389" s="111" t="str">
        <x:v>C</x:v>
      </x:c>
      <x:c r="F389" s="51" t="str">
        <x:v>C</x:v>
      </x:c>
    </x:row>
    <x:row r="390">
      <x:c r="A390" s="50" t="str">
        <x:v>SC</x:v>
      </x:c>
      <x:c r="B390" s="111" t="str">
        <x:v>SC</x:v>
      </x:c>
      <x:c r="C390" s="111" t="str">
        <x:v>CACADOR</x:v>
      </x:c>
      <x:c r="D390" s="111" t="n">
        <x:v>4203006</x:v>
      </x:c>
      <x:c r="E390" s="111" t="str">
        <x:v>C</x:v>
      </x:c>
      <x:c r="F390" s="51" t="str">
        <x:v>C</x:v>
      </x:c>
    </x:row>
    <x:row r="391">
      <x:c r="A391" s="50" t="str">
        <x:v>SP</x:v>
      </x:c>
      <x:c r="B391" s="111" t="str">
        <x:v>SPI</x:v>
      </x:c>
      <x:c r="C391" s="111" t="str">
        <x:v>BATATAIS</x:v>
      </x:c>
      <x:c r="D391" s="111" t="n">
        <x:v>3505906</x:v>
      </x:c>
      <x:c r="E391" s="111" t="str">
        <x:v>C</x:v>
      </x:c>
      <x:c r="F391" s="51" t="str">
        <x:v>C</x:v>
      </x:c>
    </x:row>
    <x:row r="392">
      <x:c r="A392" s="50" t="str">
        <x:v>MS</x:v>
      </x:c>
      <x:c r="B392" s="111" t="str">
        <x:v>MS</x:v>
      </x:c>
      <x:c r="C392" s="111" t="str">
        <x:v>PONTA PORA</x:v>
      </x:c>
      <x:c r="D392" s="111" t="n">
        <x:v>5006606</x:v>
      </x:c>
      <x:c r="E392" s="111" t="str">
        <x:v>C</x:v>
      </x:c>
      <x:c r="F392" s="51" t="str">
        <x:v>C</x:v>
      </x:c>
    </x:row>
    <x:row r="393">
      <x:c r="A393" s="50" t="str">
        <x:v>SP</x:v>
      </x:c>
      <x:c r="B393" s="111" t="str">
        <x:v>SPI</x:v>
      </x:c>
      <x:c r="C393" s="111" t="str">
        <x:v>COSMOPOLIS</x:v>
      </x:c>
      <x:c r="D393" s="111" t="n">
        <x:v>3512803</x:v>
      </x:c>
      <x:c r="E393" s="111" t="str">
        <x:v>C</x:v>
      </x:c>
      <x:c r="F393" s="51" t="str">
        <x:v>C</x:v>
      </x:c>
    </x:row>
    <x:row r="394">
      <x:c r="A394" s="50" t="str">
        <x:v>RJ</x:v>
      </x:c>
      <x:c r="B394" s="111" t="str">
        <x:v>RJ</x:v>
      </x:c>
      <x:c r="C394" s="111" t="str">
        <x:v>SAQUAREMA</x:v>
      </x:c>
      <x:c r="D394" s="111" t="n">
        <x:v>3305505</x:v>
      </x:c>
      <x:c r="E394" s="111" t="str">
        <x:v>C</x:v>
      </x:c>
      <x:c r="F394" s="51" t="str">
        <x:v>C</x:v>
      </x:c>
    </x:row>
    <x:row r="395">
      <x:c r="A395" s="50" t="str">
        <x:v>PR</x:v>
      </x:c>
      <x:c r="B395" s="111" t="str">
        <x:v>PR</x:v>
      </x:c>
      <x:c r="C395" s="111" t="str">
        <x:v>ROLANDIA</x:v>
      </x:c>
      <x:c r="D395" s="111" t="n">
        <x:v>4122404</x:v>
      </x:c>
      <x:c r="E395" s="111" t="str">
        <x:v>C</x:v>
      </x:c>
      <x:c r="F395" s="51" t="str">
        <x:v>C</x:v>
      </x:c>
    </x:row>
    <x:row r="396">
      <x:c r="A396" s="50" t="str">
        <x:v>PR</x:v>
      </x:c>
      <x:c r="B396" s="111" t="str">
        <x:v>PR</x:v>
      </x:c>
      <x:c r="C396" s="111" t="str">
        <x:v>TELEMACO BORBA</x:v>
      </x:c>
      <x:c r="D396" s="111" t="n">
        <x:v>4127106</x:v>
      </x:c>
      <x:c r="E396" s="111" t="str">
        <x:v>C</x:v>
      </x:c>
      <x:c r="F396" s="51" t="str">
        <x:v>C</x:v>
      </x:c>
    </x:row>
    <x:row r="397">
      <x:c r="A397" s="50" t="str">
        <x:v>RS</x:v>
      </x:c>
      <x:c r="B397" s="111" t="str">
        <x:v>RS</x:v>
      </x:c>
      <x:c r="C397" s="111" t="str">
        <x:v>MONTENEGRO</x:v>
      </x:c>
      <x:c r="D397" s="111" t="n">
        <x:v>4312401</x:v>
      </x:c>
      <x:c r="E397" s="111" t="str">
        <x:v>C</x:v>
      </x:c>
      <x:c r="F397" s="51" t="str">
        <x:v>C</x:v>
      </x:c>
    </x:row>
    <x:row r="398">
      <x:c r="A398" s="50" t="str">
        <x:v>MG</x:v>
      </x:c>
      <x:c r="B398" s="111" t="str">
        <x:v>MG</x:v>
      </x:c>
      <x:c r="C398" s="111" t="str">
        <x:v>PONTE NOVA</x:v>
      </x:c>
      <x:c r="D398" s="111" t="n">
        <x:v>3152105</x:v>
      </x:c>
      <x:c r="E398" s="111" t="str">
        <x:v>C</x:v>
      </x:c>
      <x:c r="F398" s="51" t="str">
        <x:v>C</x:v>
      </x:c>
    </x:row>
    <x:row r="399">
      <x:c r="A399" s="50" t="str">
        <x:v>SP</x:v>
      </x:c>
      <x:c r="B399" s="111" t="str">
        <x:v>SPM</x:v>
      </x:c>
      <x:c r="C399" s="111" t="str">
        <x:v>EMBU-GUACU</x:v>
      </x:c>
      <x:c r="D399" s="111" t="n">
        <x:v>3515103</x:v>
      </x:c>
      <x:c r="E399" s="111" t="str">
        <x:v>C</x:v>
      </x:c>
      <x:c r="F399" s="51" t="str">
        <x:v>C</x:v>
      </x:c>
    </x:row>
    <x:row r="400">
      <x:c r="A400" s="50" t="str">
        <x:v>SP</x:v>
      </x:c>
      <x:c r="B400" s="111" t="str">
        <x:v>SPI</x:v>
      </x:c>
      <x:c r="C400" s="111" t="str">
        <x:v>MOCOCA</x:v>
      </x:c>
      <x:c r="D400" s="111" t="n">
        <x:v>3530508</x:v>
      </x:c>
      <x:c r="E400" s="111" t="str">
        <x:v>C</x:v>
      </x:c>
      <x:c r="F400" s="51" t="str">
        <x:v>C</x:v>
      </x:c>
    </x:row>
    <x:row r="401">
      <x:c r="A401" s="50" t="str">
        <x:v>MG</x:v>
      </x:c>
      <x:c r="B401" s="111" t="str">
        <x:v>MG</x:v>
      </x:c>
      <x:c r="C401" s="111" t="str">
        <x:v>OURO PRETO</x:v>
      </x:c>
      <x:c r="D401" s="111" t="n">
        <x:v>3146107</x:v>
      </x:c>
      <x:c r="E401" s="111" t="str">
        <x:v>C</x:v>
      </x:c>
      <x:c r="F401" s="51" t="str">
        <x:v>C</x:v>
      </x:c>
    </x:row>
    <x:row r="402">
      <x:c r="A402" s="50" t="str">
        <x:v>PI</x:v>
      </x:c>
      <x:c r="B402" s="111" t="str">
        <x:v>PI</x:v>
      </x:c>
      <x:c r="C402" s="111" t="str">
        <x:v>PARNAIBA</x:v>
      </x:c>
      <x:c r="D402" s="111" t="n">
        <x:v>2207702</x:v>
      </x:c>
      <x:c r="E402" s="111" t="str">
        <x:v>C</x:v>
      </x:c>
      <x:c r="F402" s="51" t="str">
        <x:v>C</x:v>
      </x:c>
    </x:row>
    <x:row r="403">
      <x:c r="A403" s="50" t="str">
        <x:v>BA</x:v>
      </x:c>
      <x:c r="B403" s="111" t="str">
        <x:v>BA</x:v>
      </x:c>
      <x:c r="C403" s="111" t="str">
        <x:v>PAULO AFONSO</x:v>
      </x:c>
      <x:c r="D403" s="111" t="n">
        <x:v>2924009</x:v>
      </x:c>
      <x:c r="E403" s="111" t="str">
        <x:v>C</x:v>
      </x:c>
      <x:c r="F403" s="51" t="str">
        <x:v>C</x:v>
      </x:c>
    </x:row>
    <x:row r="404">
      <x:c r="A404" s="50" t="str">
        <x:v>MA</x:v>
      </x:c>
      <x:c r="B404" s="111" t="str">
        <x:v>PI</x:v>
      </x:c>
      <x:c r="C404" s="111" t="str">
        <x:v>TIMON</x:v>
      </x:c>
      <x:c r="D404" s="111" t="n">
        <x:v>2112209</x:v>
      </x:c>
      <x:c r="E404" s="111" t="str">
        <x:v>C</x:v>
      </x:c>
      <x:c r="F404" s="51" t="str">
        <x:v>C</x:v>
      </x:c>
    </x:row>
    <x:row r="405">
      <x:c r="A405" s="50" t="str">
        <x:v>PE</x:v>
      </x:c>
      <x:c r="B405" s="111" t="str">
        <x:v>PE</x:v>
      </x:c>
      <x:c r="C405" s="111" t="str">
        <x:v>VITORIA DE SANTO ANTAO</x:v>
      </x:c>
      <x:c r="D405" s="111" t="n">
        <x:v>2616407</x:v>
      </x:c>
      <x:c r="E405" s="111" t="str">
        <x:v>C</x:v>
      </x:c>
      <x:c r="F405" s="51" t="str">
        <x:v>C</x:v>
      </x:c>
    </x:row>
    <x:row r="406">
      <x:c r="A406" s="50" t="str">
        <x:v>RS</x:v>
      </x:c>
      <x:c r="B406" s="111" t="str">
        <x:v>RS</x:v>
      </x:c>
      <x:c r="C406" s="111" t="str">
        <x:v>CARAZINHO</x:v>
      </x:c>
      <x:c r="D406" s="111" t="n">
        <x:v>4304705</x:v>
      </x:c>
      <x:c r="E406" s="111" t="str">
        <x:v>C</x:v>
      </x:c>
      <x:c r="F406" s="51" t="str">
        <x:v>C</x:v>
      </x:c>
    </x:row>
    <x:row r="407">
      <x:c r="A407" s="50" t="str">
        <x:v>MG</x:v>
      </x:c>
      <x:c r="B407" s="111" t="str">
        <x:v>MG</x:v>
      </x:c>
      <x:c r="C407" s="111" t="str">
        <x:v>ARCOS</x:v>
      </x:c>
      <x:c r="D407" s="111" t="n">
        <x:v>3104205</x:v>
      </x:c>
      <x:c r="E407" s="111" t="str">
        <x:v>C</x:v>
      </x:c>
      <x:c r="F407" s="51" t="str">
        <x:v>C</x:v>
      </x:c>
    </x:row>
    <x:row r="408">
      <x:c r="A408" s="50" t="str">
        <x:v>TO</x:v>
      </x:c>
      <x:c r="B408" s="111" t="str">
        <x:v>TO</x:v>
      </x:c>
      <x:c r="C408" s="111" t="str">
        <x:v>GURUPI</x:v>
      </x:c>
      <x:c r="D408" s="111" t="n">
        <x:v>1709500</x:v>
      </x:c>
      <x:c r="E408" s="111" t="str">
        <x:v>C</x:v>
      </x:c>
      <x:c r="F408" s="51" t="str">
        <x:v>C</x:v>
      </x:c>
    </x:row>
    <x:row r="409">
      <x:c r="A409" s="50" t="str">
        <x:v>PB</x:v>
      </x:c>
      <x:c r="B409" s="111" t="str">
        <x:v>PB</x:v>
      </x:c>
      <x:c r="C409" s="111" t="str">
        <x:v>PATOS</x:v>
      </x:c>
      <x:c r="D409" s="111" t="n">
        <x:v>2510808</x:v>
      </x:c>
      <x:c r="E409" s="111" t="str">
        <x:v>C</x:v>
      </x:c>
      <x:c r="F409" s="51" t="str">
        <x:v>C</x:v>
      </x:c>
    </x:row>
    <x:row r="410">
      <x:c r="A410" s="50" t="str">
        <x:v>RS</x:v>
      </x:c>
      <x:c r="B410" s="111" t="str">
        <x:v>RS</x:v>
      </x:c>
      <x:c r="C410" s="111" t="str">
        <x:v>SANTANA DO LIVRAMENTO</x:v>
      </x:c>
      <x:c r="D410" s="111" t="n">
        <x:v>4317103</x:v>
      </x:c>
      <x:c r="E410" s="111" t="str">
        <x:v>C</x:v>
      </x:c>
      <x:c r="F410" s="51" t="str">
        <x:v>C</x:v>
      </x:c>
    </x:row>
    <x:row r="411">
      <x:c r="A411" s="50" t="str">
        <x:v>RJ</x:v>
      </x:c>
      <x:c r="B411" s="111" t="str">
        <x:v>RJ</x:v>
      </x:c>
      <x:c r="C411" s="111" t="str">
        <x:v>SEROPEDICA</x:v>
      </x:c>
      <x:c r="D411" s="111" t="n">
        <x:v>3305554</x:v>
      </x:c>
      <x:c r="E411" s="111" t="str">
        <x:v>C</x:v>
      </x:c>
      <x:c r="F411" s="51" t="str">
        <x:v>-</x:v>
      </x:c>
    </x:row>
    <x:row r="412">
      <x:c r="A412" s="50" t="str">
        <x:v>SC</x:v>
      </x:c>
      <x:c r="B412" s="111" t="str">
        <x:v>SC</x:v>
      </x:c>
      <x:c r="C412" s="111" t="str">
        <x:v>VIDEIRA</x:v>
      </x:c>
      <x:c r="D412" s="111" t="n">
        <x:v>4219309</x:v>
      </x:c>
      <x:c r="E412" s="111" t="str">
        <x:v>C</x:v>
      </x:c>
      <x:c r="F412" s="51" t="str">
        <x:v>C</x:v>
      </x:c>
    </x:row>
    <x:row r="413">
      <x:c r="A413" s="50" t="str">
        <x:v>BA</x:v>
      </x:c>
      <x:c r="B413" s="111" t="str">
        <x:v>BA</x:v>
      </x:c>
      <x:c r="C413" s="111" t="str">
        <x:v>CANDEIAS</x:v>
      </x:c>
      <x:c r="D413" s="111" t="n">
        <x:v>2906501</x:v>
      </x:c>
      <x:c r="E413" s="111" t="str">
        <x:v>C</x:v>
      </x:c>
      <x:c r="F413" s="51" t="str">
        <x:v>C</x:v>
      </x:c>
    </x:row>
    <x:row r="414">
      <x:c r="A414" s="50" t="str">
        <x:v>SP</x:v>
      </x:c>
      <x:c r="B414" s="111" t="str">
        <x:v>SPI</x:v>
      </x:c>
      <x:c r="C414" s="111" t="str">
        <x:v>CERQUILHO</x:v>
      </x:c>
      <x:c r="D414" s="111" t="n">
        <x:v>3511508</x:v>
      </x:c>
      <x:c r="E414" s="111" t="str">
        <x:v>C</x:v>
      </x:c>
      <x:c r="F414" s="51" t="str">
        <x:v>C</x:v>
      </x:c>
    </x:row>
    <x:row r="415">
      <x:c r="A415" s="50" t="str">
        <x:v>GO</x:v>
      </x:c>
      <x:c r="B415" s="111" t="str">
        <x:v>BSB</x:v>
      </x:c>
      <x:c r="C415" s="111" t="str">
        <x:v>PLANALTINA</x:v>
      </x:c>
      <x:c r="D415" s="111" t="n">
        <x:v>5217609</x:v>
      </x:c>
      <x:c r="E415" s="111" t="str">
        <x:v>C</x:v>
      </x:c>
      <x:c r="F415" s="51" t="str">
        <x:v>-</x:v>
      </x:c>
    </x:row>
    <x:row r="416">
      <x:c r="A416" s="50" t="str">
        <x:v>SP</x:v>
      </x:c>
      <x:c r="B416" s="111" t="str">
        <x:v>SPI</x:v>
      </x:c>
      <x:c r="C416" s="111" t="str">
        <x:v>MONTE MOR</x:v>
      </x:c>
      <x:c r="D416" s="111" t="n">
        <x:v>3531803</x:v>
      </x:c>
      <x:c r="E416" s="111" t="str">
        <x:v>C</x:v>
      </x:c>
      <x:c r="F416" s="51" t="str">
        <x:v>-</x:v>
      </x:c>
    </x:row>
    <x:row r="417">
      <x:c r="A417" s="50" t="str">
        <x:v>GO</x:v>
      </x:c>
      <x:c r="B417" s="111" t="str">
        <x:v>BSB</x:v>
      </x:c>
      <x:c r="C417" s="111" t="str">
        <x:v>NOVO GAMA</x:v>
      </x:c>
      <x:c r="D417" s="111" t="n">
        <x:v>5215231</x:v>
      </x:c>
      <x:c r="E417" s="111" t="str">
        <x:v>C</x:v>
      </x:c>
      <x:c r="F417" s="51" t="str">
        <x:v>-</x:v>
      </x:c>
    </x:row>
    <x:row r="418">
      <x:c r="A418" s="50" t="str">
        <x:v>PA</x:v>
      </x:c>
      <x:c r="B418" s="111" t="str">
        <x:v>PA</x:v>
      </x:c>
      <x:c r="C418" s="111" t="str">
        <x:v>MARITUBA</x:v>
      </x:c>
      <x:c r="D418" s="111" t="n">
        <x:v>1504422</x:v>
      </x:c>
      <x:c r="E418" s="111" t="str">
        <x:v>C</x:v>
      </x:c>
      <x:c r="F418" s="51" t="str">
        <x:v>C</x:v>
      </x:c>
    </x:row>
    <x:row r="419">
      <x:c r="A419" s="50" t="str">
        <x:v>SP</x:v>
      </x:c>
      <x:c r="B419" s="111" t="str">
        <x:v>SPI</x:v>
      </x:c>
      <x:c r="C419" s="111" t="str">
        <x:v>CAPIVARI</x:v>
      </x:c>
      <x:c r="D419" s="111" t="n">
        <x:v>3510401</x:v>
      </x:c>
      <x:c r="E419" s="111" t="str">
        <x:v>C</x:v>
      </x:c>
      <x:c r="F419" s="51" t="str">
        <x:v>C</x:v>
      </x:c>
    </x:row>
    <x:row r="420">
      <x:c r="A420" s="50" t="str">
        <x:v>SP</x:v>
      </x:c>
      <x:c r="B420" s="111" t="str">
        <x:v>SPI</x:v>
      </x:c>
      <x:c r="C420" s="111" t="str">
        <x:v>ANDRADINA</x:v>
      </x:c>
      <x:c r="D420" s="111" t="n">
        <x:v>3502101</x:v>
      </x:c>
      <x:c r="E420" s="111" t="str">
        <x:v>C</x:v>
      </x:c>
      <x:c r="F420" s="51" t="str">
        <x:v>C</x:v>
      </x:c>
    </x:row>
    <x:row r="421">
      <x:c r="A421" s="50" t="str">
        <x:v>PE</x:v>
      </x:c>
      <x:c r="B421" s="111" t="str">
        <x:v>PE</x:v>
      </x:c>
      <x:c r="C421" s="111" t="str">
        <x:v>ABREU E LIMA</x:v>
      </x:c>
      <x:c r="D421" s="111" t="n">
        <x:v>2600054</x:v>
      </x:c>
      <x:c r="E421" s="111" t="str">
        <x:v>C</x:v>
      </x:c>
      <x:c r="F421" s="51" t="str">
        <x:v>-</x:v>
      </x:c>
    </x:row>
    <x:row r="422">
      <x:c r="A422" s="50" t="str">
        <x:v>SP</x:v>
      </x:c>
      <x:c r="B422" s="111" t="str">
        <x:v>SPM</x:v>
      </x:c>
      <x:c r="C422" s="111" t="str">
        <x:v>REGISTRO</x:v>
      </x:c>
      <x:c r="D422" s="111" t="n">
        <x:v>3542602</x:v>
      </x:c>
      <x:c r="E422" s="111" t="str">
        <x:v>C</x:v>
      </x:c>
      <x:c r="F422" s="51" t="str">
        <x:v>C</x:v>
      </x:c>
    </x:row>
    <x:row r="423">
      <x:c r="A423" s="50" t="str">
        <x:v>PR</x:v>
      </x:c>
      <x:c r="B423" s="111" t="str">
        <x:v>PR</x:v>
      </x:c>
      <x:c r="C423" s="111" t="str">
        <x:v>SANTO ANTONIO DA PLATINA</x:v>
      </x:c>
      <x:c r="D423" s="111" t="n">
        <x:v>4124103</x:v>
      </x:c>
      <x:c r="E423" s="111" t="str">
        <x:v>C</x:v>
      </x:c>
      <x:c r="F423" s="51" t="str">
        <x:v>C</x:v>
      </x:c>
    </x:row>
    <x:row r="424">
      <x:c r="A424" s="50" t="str">
        <x:v>SP</x:v>
      </x:c>
      <x:c r="B424" s="111" t="str">
        <x:v>SPM</x:v>
      </x:c>
      <x:c r="C424" s="111" t="str">
        <x:v>BERTIOGA</x:v>
      </x:c>
      <x:c r="D424" s="111" t="n">
        <x:v>3506359</x:v>
      </x:c>
      <x:c r="E424" s="111" t="str">
        <x:v>C</x:v>
      </x:c>
      <x:c r="F424" s="51" t="str">
        <x:v>-</x:v>
      </x:c>
    </x:row>
    <x:row r="425">
      <x:c r="A425" s="50" t="str">
        <x:v>SP</x:v>
      </x:c>
      <x:c r="B425" s="111" t="str">
        <x:v>SPI</x:v>
      </x:c>
      <x:c r="C425" s="111" t="str">
        <x:v>OLIMPIA</x:v>
      </x:c>
      <x:c r="D425" s="111" t="n">
        <x:v>3533908</x:v>
      </x:c>
      <x:c r="E425" s="111" t="str">
        <x:v>C</x:v>
      </x:c>
      <x:c r="F425" s="51" t="str">
        <x:v>C</x:v>
      </x:c>
    </x:row>
    <x:row r="426">
      <x:c r="A426" s="50" t="str">
        <x:v>PA</x:v>
      </x:c>
      <x:c r="B426" s="111" t="str">
        <x:v>PA</x:v>
      </x:c>
      <x:c r="C426" s="111" t="str">
        <x:v>ALTAMIRA</x:v>
      </x:c>
      <x:c r="D426" s="111" t="n">
        <x:v>1500602</x:v>
      </x:c>
      <x:c r="E426" s="111" t="str">
        <x:v>C</x:v>
      </x:c>
      <x:c r="F426" s="51" t="str">
        <x:v>C</x:v>
      </x:c>
    </x:row>
    <x:row r="427">
      <x:c r="A427" s="50" t="str">
        <x:v>CE</x:v>
      </x:c>
      <x:c r="B427" s="111" t="str">
        <x:v>CE</x:v>
      </x:c>
      <x:c r="C427" s="111" t="str">
        <x:v>CRATO</x:v>
      </x:c>
      <x:c r="D427" s="111" t="n">
        <x:v>2304202</x:v>
      </x:c>
      <x:c r="E427" s="111" t="str">
        <x:v>C</x:v>
      </x:c>
      <x:c r="F427" s="51" t="str">
        <x:v>C</x:v>
      </x:c>
    </x:row>
    <x:row r="428">
      <x:c r="A428" s="50" t="str">
        <x:v>GO</x:v>
      </x:c>
      <x:c r="B428" s="111" t="str">
        <x:v>GO</x:v>
      </x:c>
      <x:c r="C428" s="111" t="str">
        <x:v>GOIANESIA</x:v>
      </x:c>
      <x:c r="D428" s="111" t="n">
        <x:v>5208608</x:v>
      </x:c>
      <x:c r="E428" s="111" t="str">
        <x:v>C</x:v>
      </x:c>
      <x:c r="F428" s="51" t="str">
        <x:v>C</x:v>
      </x:c>
    </x:row>
    <x:row r="429">
      <x:c r="A429" s="50" t="str">
        <x:v>PE</x:v>
      </x:c>
      <x:c r="B429" s="111" t="str">
        <x:v>PE</x:v>
      </x:c>
      <x:c r="C429" s="111" t="str">
        <x:v>SAO LOURENCO DA MATA</x:v>
      </x:c>
      <x:c r="D429" s="111" t="n">
        <x:v>2613701</x:v>
      </x:c>
      <x:c r="E429" s="111" t="str">
        <x:v>C</x:v>
      </x:c>
      <x:c r="F429" s="51" t="str">
        <x:v>-</x:v>
      </x:c>
    </x:row>
    <x:row r="430">
      <x:c r="A430" s="50" t="str">
        <x:v>PR</x:v>
      </x:c>
      <x:c r="B430" s="111" t="str">
        <x:v>PR</x:v>
      </x:c>
      <x:c r="C430" s="111" t="str">
        <x:v>MEDIANEIRA</x:v>
      </x:c>
      <x:c r="D430" s="111" t="n">
        <x:v>4115804</x:v>
      </x:c>
      <x:c r="E430" s="111" t="str">
        <x:v>C</x:v>
      </x:c>
      <x:c r="F430" s="51" t="str">
        <x:v>C</x:v>
      </x:c>
    </x:row>
    <x:row r="431">
      <x:c r="A431" s="50" t="str">
        <x:v>MG</x:v>
      </x:c>
      <x:c r="B431" s="111" t="str">
        <x:v>MG</x:v>
      </x:c>
      <x:c r="C431" s="111" t="str">
        <x:v>SAO LOURENCO</x:v>
      </x:c>
      <x:c r="D431" s="111" t="n">
        <x:v>3163706</x:v>
      </x:c>
      <x:c r="E431" s="111" t="str">
        <x:v>C</x:v>
      </x:c>
      <x:c r="F431" s="51" t="str">
        <x:v>C</x:v>
      </x:c>
    </x:row>
    <x:row r="432">
      <x:c r="A432" s="50" t="str">
        <x:v>SC</x:v>
      </x:c>
      <x:c r="B432" s="111" t="str">
        <x:v>SC</x:v>
      </x:c>
      <x:c r="C432" s="111" t="str">
        <x:v>TIMBO</x:v>
      </x:c>
      <x:c r="D432" s="111" t="n">
        <x:v>4218202</x:v>
      </x:c>
      <x:c r="E432" s="111" t="str">
        <x:v>C</x:v>
      </x:c>
      <x:c r="F432" s="51" t="str">
        <x:v>C</x:v>
      </x:c>
    </x:row>
    <x:row r="433">
      <x:c r="A433" s="50" t="str">
        <x:v>RO</x:v>
      </x:c>
      <x:c r="B433" s="111" t="str">
        <x:v>RO</x:v>
      </x:c>
      <x:c r="C433" s="111" t="str">
        <x:v>CACOAL</x:v>
      </x:c>
      <x:c r="D433" s="111" t="n">
        <x:v>1100049</x:v>
      </x:c>
      <x:c r="E433" s="111" t="str">
        <x:v>C</x:v>
      </x:c>
      <x:c r="F433" s="51" t="str">
        <x:v>C</x:v>
      </x:c>
    </x:row>
    <x:row r="434">
      <x:c r="A434" s="50" t="str">
        <x:v>RS</x:v>
      </x:c>
      <x:c r="B434" s="111" t="str">
        <x:v>RS</x:v>
      </x:c>
      <x:c r="C434" s="111" t="str">
        <x:v>VACARIA</x:v>
      </x:c>
      <x:c r="D434" s="111" t="n">
        <x:v>4322509</x:v>
      </x:c>
      <x:c r="E434" s="111" t="str">
        <x:v>C</x:v>
      </x:c>
      <x:c r="F434" s="51" t="str">
        <x:v>C</x:v>
      </x:c>
    </x:row>
    <x:row r="435">
      <x:c r="A435" s="50" t="str">
        <x:v>PE</x:v>
      </x:c>
      <x:c r="B435" s="111" t="str">
        <x:v>PE</x:v>
      </x:c>
      <x:c r="C435" s="111" t="str">
        <x:v>IGARASSU</x:v>
      </x:c>
      <x:c r="D435" s="111" t="n">
        <x:v>2606804</x:v>
      </x:c>
      <x:c r="E435" s="111" t="str">
        <x:v>C</x:v>
      </x:c>
      <x:c r="F435" s="51" t="str">
        <x:v>-</x:v>
      </x:c>
    </x:row>
    <x:row r="436">
      <x:c r="A436" s="50" t="str">
        <x:v>GO</x:v>
      </x:c>
      <x:c r="B436" s="111" t="str">
        <x:v>GO</x:v>
      </x:c>
      <x:c r="C436" s="111" t="str">
        <x:v>MINEIROS</x:v>
      </x:c>
      <x:c r="D436" s="111" t="n">
        <x:v>5213103</x:v>
      </x:c>
      <x:c r="E436" s="111" t="str">
        <x:v>C</x:v>
      </x:c>
      <x:c r="F436" s="51" t="str">
        <x:v>C</x:v>
      </x:c>
    </x:row>
    <x:row r="437">
      <x:c r="A437" s="50" t="str">
        <x:v>RS</x:v>
      </x:c>
      <x:c r="B437" s="111" t="str">
        <x:v>RS</x:v>
      </x:c>
      <x:c r="C437" s="111" t="str">
        <x:v>CAPAO DA CANOA</x:v>
      </x:c>
      <x:c r="D437" s="111" t="n">
        <x:v>4304630</x:v>
      </x:c>
      <x:c r="E437" s="111" t="str">
        <x:v>C</x:v>
      </x:c>
      <x:c r="F437" s="51" t="str">
        <x:v>C</x:v>
      </x:c>
    </x:row>
    <x:row r="438">
      <x:c r="A438" s="50" t="str">
        <x:v>PR</x:v>
      </x:c>
      <x:c r="B438" s="111" t="str">
        <x:v>PR</x:v>
      </x:c>
      <x:c r="C438" s="111" t="str">
        <x:v>UNIAO DA VITORIA</x:v>
      </x:c>
      <x:c r="D438" s="111" t="n">
        <x:v>4128203</x:v>
      </x:c>
      <x:c r="E438" s="111" t="str">
        <x:v>C</x:v>
      </x:c>
      <x:c r="F438" s="51" t="str">
        <x:v>C</x:v>
      </x:c>
    </x:row>
    <x:row r="439">
      <x:c r="A439" s="50" t="str">
        <x:v>SC</x:v>
      </x:c>
      <x:c r="B439" s="111" t="str">
        <x:v>SC</x:v>
      </x:c>
      <x:c r="C439" s="111" t="str">
        <x:v>ICARA</x:v>
      </x:c>
      <x:c r="D439" s="111" t="n">
        <x:v>4207007</x:v>
      </x:c>
      <x:c r="E439" s="111" t="str">
        <x:v>C</x:v>
      </x:c>
      <x:c r="F439" s="51" t="str">
        <x:v>C</x:v>
      </x:c>
    </x:row>
    <x:row r="440">
      <x:c r="A440" s="50" t="str">
        <x:v>MG</x:v>
      </x:c>
      <x:c r="B440" s="111" t="str">
        <x:v>MG</x:v>
      </x:c>
      <x:c r="C440" s="111" t="str">
        <x:v>SANTA RITA DO SAPUCAI</x:v>
      </x:c>
      <x:c r="D440" s="111" t="n">
        <x:v>3159605</x:v>
      </x:c>
      <x:c r="E440" s="111" t="str">
        <x:v>C</x:v>
      </x:c>
      <x:c r="F440" s="51" t="str">
        <x:v>C</x:v>
      </x:c>
    </x:row>
    <x:row r="441">
      <x:c r="A441" s="50" t="str">
        <x:v>MG</x:v>
      </x:c>
      <x:c r="B441" s="111" t="str">
        <x:v>MG</x:v>
      </x:c>
      <x:c r="C441" s="111" t="str">
        <x:v>CONGONHAS</x:v>
      </x:c>
      <x:c r="D441" s="111" t="n">
        <x:v>3118007</x:v>
      </x:c>
      <x:c r="E441" s="111" t="str">
        <x:v>C</x:v>
      </x:c>
      <x:c r="F441" s="51" t="str">
        <x:v>-</x:v>
      </x:c>
    </x:row>
    <x:row r="442">
      <x:c r="A442" s="50" t="str">
        <x:v>SP</x:v>
      </x:c>
      <x:c r="B442" s="111" t="str">
        <x:v>SPI</x:v>
      </x:c>
      <x:c r="C442" s="111" t="str">
        <x:v>JALES</x:v>
      </x:c>
      <x:c r="D442" s="111" t="n">
        <x:v>3524808</x:v>
      </x:c>
      <x:c r="E442" s="111" t="str">
        <x:v>C</x:v>
      </x:c>
      <x:c r="F442" s="51" t="str">
        <x:v>C</x:v>
      </x:c>
    </x:row>
    <x:row r="443">
      <x:c r="A443" s="50" t="str">
        <x:v>RS</x:v>
      </x:c>
      <x:c r="B443" s="111" t="str">
        <x:v>RS</x:v>
      </x:c>
      <x:c r="C443" s="111" t="str">
        <x:v>CRUZ ALTA</x:v>
      </x:c>
      <x:c r="D443" s="111" t="n">
        <x:v>4306106</x:v>
      </x:c>
      <x:c r="E443" s="111" t="str">
        <x:v>C</x:v>
      </x:c>
      <x:c r="F443" s="51" t="str">
        <x:v>C</x:v>
      </x:c>
    </x:row>
    <x:row r="444">
      <x:c r="A444" s="50" t="str">
        <x:v>RS</x:v>
      </x:c>
      <x:c r="B444" s="111" t="str">
        <x:v>RS</x:v>
      </x:c>
      <x:c r="C444" s="111" t="str">
        <x:v>ALEGRETE</x:v>
      </x:c>
      <x:c r="D444" s="111" t="n">
        <x:v>4300406</x:v>
      </x:c>
      <x:c r="E444" s="111" t="str">
        <x:v>C</x:v>
      </x:c>
      <x:c r="F444" s="51" t="str">
        <x:v>C</x:v>
      </x:c>
    </x:row>
    <x:row r="445">
      <x:c r="A445" s="50" t="str">
        <x:v>MG</x:v>
      </x:c>
      <x:c r="B445" s="111" t="str">
        <x:v>MG</x:v>
      </x:c>
      <x:c r="C445" s="111" t="str">
        <x:v>MARIANA</x:v>
      </x:c>
      <x:c r="D445" s="111" t="n">
        <x:v>3140001</x:v>
      </x:c>
      <x:c r="E445" s="111" t="str">
        <x:v>C</x:v>
      </x:c>
      <x:c r="F445" s="51" t="str">
        <x:v>-</x:v>
      </x:c>
    </x:row>
    <x:row r="446">
      <x:c r="A446" s="50" t="str">
        <x:v>SC</x:v>
      </x:c>
      <x:c r="B446" s="111" t="str">
        <x:v>SC</x:v>
      </x:c>
      <x:c r="C446" s="111" t="str">
        <x:v>SAO FRANCISCO DO SUL</x:v>
      </x:c>
      <x:c r="D446" s="111" t="n">
        <x:v>4216206</x:v>
      </x:c>
      <x:c r="E446" s="111" t="str">
        <x:v>C</x:v>
      </x:c>
      <x:c r="F446" s="51" t="str">
        <x:v>C</x:v>
      </x:c>
    </x:row>
    <x:row r="447">
      <x:c r="A447" s="50" t="str">
        <x:v>SP</x:v>
      </x:c>
      <x:c r="B447" s="111" t="str">
        <x:v>SPM</x:v>
      </x:c>
      <x:c r="C447" s="111" t="str">
        <x:v>MONGAGUA</x:v>
      </x:c>
      <x:c r="D447" s="111" t="n">
        <x:v>3531100</x:v>
      </x:c>
      <x:c r="E447" s="111" t="str">
        <x:v>C</x:v>
      </x:c>
      <x:c r="F447" s="51" t="str">
        <x:v>-</x:v>
      </x:c>
    </x:row>
    <x:row r="448">
      <x:c r="A448" s="50" t="str">
        <x:v>SC</x:v>
      </x:c>
      <x:c r="B448" s="111" t="str">
        <x:v>SC</x:v>
      </x:c>
      <x:c r="C448" s="111" t="str">
        <x:v>XANXERE</x:v>
      </x:c>
      <x:c r="D448" s="111" t="n">
        <x:v>4219507</x:v>
      </x:c>
      <x:c r="E448" s="111" t="str">
        <x:v>C</x:v>
      </x:c>
      <x:c r="F448" s="51" t="str">
        <x:v>C</x:v>
      </x:c>
    </x:row>
    <x:row r="449">
      <x:c r="A449" s="50" t="str">
        <x:v>SP</x:v>
      </x:c>
      <x:c r="B449" s="111" t="str">
        <x:v>SPI</x:v>
      </x:c>
      <x:c r="C449" s="111" t="str">
        <x:v>DRACENA</x:v>
      </x:c>
      <x:c r="D449" s="111" t="n">
        <x:v>3514403</x:v>
      </x:c>
      <x:c r="E449" s="111" t="str">
        <x:v>C</x:v>
      </x:c>
      <x:c r="F449" s="51" t="str">
        <x:v>C</x:v>
      </x:c>
    </x:row>
    <x:row r="450">
      <x:c r="A450" s="50" t="str">
        <x:v>MG</x:v>
      </x:c>
      <x:c r="B450" s="111" t="str">
        <x:v>MG</x:v>
      </x:c>
      <x:c r="C450" s="111" t="str">
        <x:v>ITABIRITO</x:v>
      </x:c>
      <x:c r="D450" s="111" t="n">
        <x:v>3131901</x:v>
      </x:c>
      <x:c r="E450" s="111" t="str">
        <x:v>C</x:v>
      </x:c>
      <x:c r="F450" s="51" t="str">
        <x:v>-</x:v>
      </x:c>
    </x:row>
    <x:row r="451">
      <x:c r="A451" s="50" t="str">
        <x:v>MT</x:v>
      </x:c>
      <x:c r="B451" s="111" t="str">
        <x:v>MT</x:v>
      </x:c>
      <x:c r="C451" s="111" t="str">
        <x:v>CACERES</x:v>
      </x:c>
      <x:c r="D451" s="111" t="n">
        <x:v>5102504</x:v>
      </x:c>
      <x:c r="E451" s="111" t="str">
        <x:v>C</x:v>
      </x:c>
      <x:c r="F451" s="51" t="str">
        <x:v>C</x:v>
      </x:c>
    </x:row>
    <x:row r="452">
      <x:c r="A452" s="50" t="str">
        <x:v>SP</x:v>
      </x:c>
      <x:c r="B452" s="111" t="str">
        <x:v>SPI</x:v>
      </x:c>
      <x:c r="C452" s="111" t="str">
        <x:v>ARTUR NOGUEIRA</x:v>
      </x:c>
      <x:c r="D452" s="111" t="n">
        <x:v>3503802</x:v>
      </x:c>
      <x:c r="E452" s="111" t="str">
        <x:v>C</x:v>
      </x:c>
      <x:c r="F452" s="51" t="str">
        <x:v>C</x:v>
      </x:c>
    </x:row>
    <x:row r="453">
      <x:c r="A453" s="50" t="str">
        <x:v>PB</x:v>
      </x:c>
      <x:c r="B453" s="111" t="str">
        <x:v>PB</x:v>
      </x:c>
      <x:c r="C453" s="111" t="str">
        <x:v>SANTA RITA</x:v>
      </x:c>
      <x:c r="D453" s="111" t="n">
        <x:v>2513703</x:v>
      </x:c>
      <x:c r="E453" s="111" t="str">
        <x:v>C</x:v>
      </x:c>
      <x:c r="F453" s="51" t="str">
        <x:v>-</x:v>
      </x:c>
    </x:row>
    <x:row r="454">
      <x:c r="A454" s="50" t="str">
        <x:v>RJ</x:v>
      </x:c>
      <x:c r="B454" s="111" t="str">
        <x:v>RJ</x:v>
      </x:c>
      <x:c r="C454" s="111" t="str">
        <x:v>VALENCA</x:v>
      </x:c>
      <x:c r="D454" s="111" t="n">
        <x:v>3306107</x:v>
      </x:c>
      <x:c r="E454" s="111" t="str">
        <x:v>C</x:v>
      </x:c>
      <x:c r="F454" s="51" t="str">
        <x:v>-</x:v>
      </x:c>
    </x:row>
    <x:row r="455">
      <x:c r="A455" s="50" t="str">
        <x:v>BA</x:v>
      </x:c>
      <x:c r="B455" s="111" t="str">
        <x:v>BA</x:v>
      </x:c>
      <x:c r="C455" s="111" t="str">
        <x:v>DIAS D AVILA</x:v>
      </x:c>
      <x:c r="D455" s="111" t="n">
        <x:v>2910057</x:v>
      </x:c>
      <x:c r="E455" s="111" t="str">
        <x:v>C</x:v>
      </x:c>
      <x:c r="F455" s="51" t="str">
        <x:v>-</x:v>
      </x:c>
    </x:row>
    <x:row r="456">
      <x:c r="A456" s="50" t="str">
        <x:v>AP</x:v>
      </x:c>
      <x:c r="B456" s="111" t="str">
        <x:v>AP</x:v>
      </x:c>
      <x:c r="C456" s="111" t="str">
        <x:v>SANTANA</x:v>
      </x:c>
      <x:c r="D456" s="111" t="n">
        <x:v>1600600</x:v>
      </x:c>
      <x:c r="E456" s="111" t="str">
        <x:v>C</x:v>
      </x:c>
      <x:c r="F456" s="51" t="str">
        <x:v>-</x:v>
      </x:c>
    </x:row>
    <x:row r="457">
      <x:c r="A457" s="50" t="str">
        <x:v>PA</x:v>
      </x:c>
      <x:c r="B457" s="111" t="str">
        <x:v>PA</x:v>
      </x:c>
      <x:c r="C457" s="111" t="str">
        <x:v>REDENCAO</x:v>
      </x:c>
      <x:c r="D457" s="111" t="n">
        <x:v>1506138</x:v>
      </x:c>
      <x:c r="E457" s="111" t="str">
        <x:v>C</x:v>
      </x:c>
      <x:c r="F457" s="51" t="str">
        <x:v>-</x:v>
      </x:c>
    </x:row>
    <x:row r="458">
      <x:c r="A458" s="50" t="str">
        <x:v>PR</x:v>
      </x:c>
      <x:c r="B458" s="111" t="str">
        <x:v>PR</x:v>
      </x:c>
      <x:c r="C458" s="111" t="str">
        <x:v>CASTRO</x:v>
      </x:c>
      <x:c r="D458" s="111" t="n">
        <x:v>4104907</x:v>
      </x:c>
      <x:c r="E458" s="111" t="str">
        <x:v>C</x:v>
      </x:c>
      <x:c r="F458" s="51" t="str">
        <x:v>C</x:v>
      </x:c>
    </x:row>
    <x:row r="459">
      <x:c r="A459" s="50" t="str">
        <x:v>SP</x:v>
      </x:c>
      <x:c r="B459" s="111" t="str">
        <x:v>SPI</x:v>
      </x:c>
      <x:c r="C459" s="111" t="str">
        <x:v>LOUVEIRA</x:v>
      </x:c>
      <x:c r="D459" s="111" t="n">
        <x:v>3527306</x:v>
      </x:c>
      <x:c r="E459" s="111" t="str">
        <x:v>C</x:v>
      </x:c>
      <x:c r="F459" s="51" t="str">
        <x:v>C</x:v>
      </x:c>
    </x:row>
    <x:row r="460">
      <x:c r="A460" s="50" t="str">
        <x:v>SP</x:v>
      </x:c>
      <x:c r="B460" s="111" t="str">
        <x:v>SPI</x:v>
      </x:c>
      <x:c r="C460" s="111" t="str">
        <x:v>SAO JOSE DO RIO PARDO</x:v>
      </x:c>
      <x:c r="D460" s="111" t="n">
        <x:v>3549706</x:v>
      </x:c>
      <x:c r="E460" s="111" t="str">
        <x:v>C</x:v>
      </x:c>
      <x:c r="F460" s="51" t="str">
        <x:v>C</x:v>
      </x:c>
    </x:row>
    <x:row r="461">
      <x:c r="A461" s="50" t="str">
        <x:v>SP</x:v>
      </x:c>
      <x:c r="B461" s="111" t="str">
        <x:v>SPI</x:v>
      </x:c>
      <x:c r="C461" s="111" t="str">
        <x:v>APARECIDA</x:v>
      </x:c>
      <x:c r="D461" s="111" t="n">
        <x:v>3502507</x:v>
      </x:c>
      <x:c r="E461" s="111" t="str">
        <x:v>C</x:v>
      </x:c>
      <x:c r="F461" s="51" t="str">
        <x:v>-</x:v>
      </x:c>
    </x:row>
    <x:row r="462">
      <x:c r="A462" s="50" t="str">
        <x:v>MG</x:v>
      </x:c>
      <x:c r="B462" s="111" t="str">
        <x:v>MG</x:v>
      </x:c>
      <x:c r="C462" s="111" t="str">
        <x:v>ESMERALDAS</x:v>
      </x:c>
      <x:c r="D462" s="111" t="n">
        <x:v>3124104</x:v>
      </x:c>
      <x:c r="E462" s="111" t="str">
        <x:v>C</x:v>
      </x:c>
      <x:c r="F462" s="51" t="str">
        <x:v>-</x:v>
      </x:c>
    </x:row>
    <x:row r="463">
      <x:c r="A463" s="50" t="str">
        <x:v>RJ</x:v>
      </x:c>
      <x:c r="B463" s="111" t="str">
        <x:v>RJ</x:v>
      </x:c>
      <x:c r="C463" s="111" t="str">
        <x:v>JAPERI</x:v>
      </x:c>
      <x:c r="D463" s="111" t="n">
        <x:v>3302270</x:v>
      </x:c>
      <x:c r="E463" s="111" t="str">
        <x:v>C</x:v>
      </x:c>
      <x:c r="F463" s="51" t="str">
        <x:v>-</x:v>
      </x:c>
    </x:row>
    <x:row r="464">
      <x:c r="A464" s="50" t="str">
        <x:v>PR</x:v>
      </x:c>
      <x:c r="B464" s="111" t="str">
        <x:v>PR</x:v>
      </x:c>
      <x:c r="C464" s="111" t="str">
        <x:v>CORNELIO PROCOPIO</x:v>
      </x:c>
      <x:c r="D464" s="111" t="n">
        <x:v>4106407</x:v>
      </x:c>
      <x:c r="E464" s="111" t="str">
        <x:v>C</x:v>
      </x:c>
      <x:c r="F464" s="51" t="str">
        <x:v>-</x:v>
      </x:c>
    </x:row>
    <x:row r="465">
      <x:c r="A465" s="50" t="str">
        <x:v>SP</x:v>
      </x:c>
      <x:c r="B465" s="111" t="str">
        <x:v>SPI</x:v>
      </x:c>
      <x:c r="C465" s="111" t="str">
        <x:v>CABREUVA</x:v>
      </x:c>
      <x:c r="D465" s="111" t="n">
        <x:v>3508405</x:v>
      </x:c>
      <x:c r="E465" s="111" t="str">
        <x:v>C</x:v>
      </x:c>
      <x:c r="F465" s="51" t="str">
        <x:v>-</x:v>
      </x:c>
    </x:row>
    <x:row r="466">
      <x:c r="A466" s="50" t="str">
        <x:v>SC</x:v>
      </x:c>
      <x:c r="B466" s="111" t="str">
        <x:v>SC</x:v>
      </x:c>
      <x:c r="C466" s="111" t="str">
        <x:v>SAO MIGUEL DO OESTE</x:v>
      </x:c>
      <x:c r="D466" s="111" t="n">
        <x:v>4217204</x:v>
      </x:c>
      <x:c r="E466" s="111" t="str">
        <x:v>C</x:v>
      </x:c>
      <x:c r="F466" s="51" t="str">
        <x:v>-</x:v>
      </x:c>
    </x:row>
    <x:row r="467">
      <x:c r="A467" s="50" t="str">
        <x:v>RS</x:v>
      </x:c>
      <x:c r="B467" s="111" t="str">
        <x:v>RS</x:v>
      </x:c>
      <x:c r="C467" s="111" t="str">
        <x:v>GRAMADO</x:v>
      </x:c>
      <x:c r="D467" s="111" t="n">
        <x:v>4309100</x:v>
      </x:c>
      <x:c r="E467" s="111" t="str">
        <x:v>C</x:v>
      </x:c>
      <x:c r="F467" s="51" t="str">
        <x:v>-</x:v>
      </x:c>
    </x:row>
    <x:row r="468">
      <x:c r="A468" s="50" t="str">
        <x:v>MG</x:v>
      </x:c>
      <x:c r="B468" s="111" t="str">
        <x:v>MG</x:v>
      </x:c>
      <x:c r="C468" s="111" t="str">
        <x:v>CAMPO BELO</x:v>
      </x:c>
      <x:c r="D468" s="111" t="n">
        <x:v>3111200</x:v>
      </x:c>
      <x:c r="E468" s="111" t="str">
        <x:v>C</x:v>
      </x:c>
      <x:c r="F468" s="51" t="str">
        <x:v>-</x:v>
      </x:c>
    </x:row>
    <x:row r="469">
      <x:c r="A469" s="50" t="str">
        <x:v>RS</x:v>
      </x:c>
      <x:c r="B469" s="111" t="str">
        <x:v>RS</x:v>
      </x:c>
      <x:c r="C469" s="111" t="str">
        <x:v>VENANCIO AIRES</x:v>
      </x:c>
      <x:c r="D469" s="111" t="n">
        <x:v>4322608</x:v>
      </x:c>
      <x:c r="E469" s="111" t="str">
        <x:v>C</x:v>
      </x:c>
      <x:c r="F469" s="51" t="str">
        <x:v>C</x:v>
      </x:c>
    </x:row>
    <x:row r="470">
      <x:c r="A470" s="50" t="str">
        <x:v>SP</x:v>
      </x:c>
      <x:c r="B470" s="111" t="str">
        <x:v>SPI</x:v>
      </x:c>
      <x:c r="C470" s="111" t="str">
        <x:v>MONTE ALTO</x:v>
      </x:c>
      <x:c r="D470" s="111" t="n">
        <x:v>3531308</x:v>
      </x:c>
      <x:c r="E470" s="111" t="str">
        <x:v>C</x:v>
      </x:c>
      <x:c r="F470" s="51" t="str">
        <x:v>C</x:v>
      </x:c>
    </x:row>
    <x:row r="471">
      <x:c r="A471" s="50" t="str">
        <x:v>MG</x:v>
      </x:c>
      <x:c r="B471" s="111" t="str">
        <x:v>MG</x:v>
      </x:c>
      <x:c r="C471" s="111" t="str">
        <x:v>CAMBUI</x:v>
      </x:c>
      <x:c r="D471" s="111" t="n">
        <x:v>3110608</x:v>
      </x:c>
      <x:c r="E471" s="111" t="str">
        <x:v>C</x:v>
      </x:c>
      <x:c r="F471" s="51" t="str">
        <x:v>-</x:v>
      </x:c>
    </x:row>
    <x:row r="472">
      <x:c r="A472" s="50" t="str">
        <x:v>PB</x:v>
      </x:c>
      <x:c r="B472" s="111" t="str">
        <x:v>PB</x:v>
      </x:c>
      <x:c r="C472" s="111" t="str">
        <x:v>CABEDELO</x:v>
      </x:c>
      <x:c r="D472" s="111" t="n">
        <x:v>2503209</x:v>
      </x:c>
      <x:c r="E472" s="111" t="str">
        <x:v>C</x:v>
      </x:c>
      <x:c r="F472" s="51" t="str">
        <x:v>-</x:v>
      </x:c>
    </x:row>
    <x:row r="473">
      <x:c r="A473" s="50" t="str">
        <x:v>MG</x:v>
      </x:c>
      <x:c r="B473" s="111" t="str">
        <x:v>MG</x:v>
      </x:c>
      <x:c r="C473" s="111" t="str">
        <x:v>LUZ</x:v>
      </x:c>
      <x:c r="D473" s="111" t="n">
        <x:v>3138807</x:v>
      </x:c>
      <x:c r="E473" s="111" t="str">
        <x:v>C</x:v>
      </x:c>
      <x:c r="F473" s="51" t="str">
        <x:v>-</x:v>
      </x:c>
    </x:row>
    <x:row r="474">
      <x:c r="A474" s="50" t="str">
        <x:v>MG</x:v>
      </x:c>
      <x:c r="B474" s="111" t="str">
        <x:v>MG</x:v>
      </x:c>
      <x:c r="C474" s="111" t="str">
        <x:v>FRUTAL</x:v>
      </x:c>
      <x:c r="D474" s="111" t="n">
        <x:v>3127107</x:v>
      </x:c>
      <x:c r="E474" s="111" t="str">
        <x:v>C</x:v>
      </x:c>
      <x:c r="F474" s="51" t="str">
        <x:v>C</x:v>
      </x:c>
    </x:row>
    <x:row r="475">
      <x:c r="A475" s="50" t="str">
        <x:v>RS</x:v>
      </x:c>
      <x:c r="B475" s="111" t="str">
        <x:v>RS</x:v>
      </x:c>
      <x:c r="C475" s="111" t="str">
        <x:v>CAMAQUA</x:v>
      </x:c>
      <x:c r="D475" s="111" t="n">
        <x:v>4303509</x:v>
      </x:c>
      <x:c r="E475" s="111" t="str">
        <x:v>C</x:v>
      </x:c>
      <x:c r="F475" s="51" t="str">
        <x:v>C</x:v>
      </x:c>
    </x:row>
    <x:row r="476">
      <x:c r="A476" s="50" t="str">
        <x:v>MG</x:v>
      </x:c>
      <x:c r="B476" s="111" t="str">
        <x:v>MG</x:v>
      </x:c>
      <x:c r="C476" s="111" t="str">
        <x:v>GUAXUPE</x:v>
      </x:c>
      <x:c r="D476" s="111" t="n">
        <x:v>3128709</x:v>
      </x:c>
      <x:c r="E476" s="111" t="str">
        <x:v>C</x:v>
      </x:c>
      <x:c r="F476" s="51" t="str">
        <x:v>-</x:v>
      </x:c>
    </x:row>
    <x:row r="477">
      <x:c r="A477" s="50" t="str">
        <x:v>SP</x:v>
      </x:c>
      <x:c r="B477" s="111" t="str">
        <x:v>SPI</x:v>
      </x:c>
      <x:c r="C477" s="111" t="str">
        <x:v>TAQUARITINGA</x:v>
      </x:c>
      <x:c r="D477" s="111" t="n">
        <x:v>3553708</x:v>
      </x:c>
      <x:c r="E477" s="111" t="str">
        <x:v>C</x:v>
      </x:c>
      <x:c r="F477" s="51" t="str">
        <x:v>C</x:v>
      </x:c>
    </x:row>
    <x:row r="478">
      <x:c r="A478" s="50" t="str">
        <x:v>CE</x:v>
      </x:c>
      <x:c r="B478" s="111" t="str">
        <x:v>CE</x:v>
      </x:c>
      <x:c r="C478" s="111" t="str">
        <x:v>MARANGUAPE</x:v>
      </x:c>
      <x:c r="D478" s="111" t="n">
        <x:v>2307700</x:v>
      </x:c>
      <x:c r="E478" s="111" t="str">
        <x:v>C</x:v>
      </x:c>
      <x:c r="F478" s="51" t="str">
        <x:v>-</x:v>
      </x:c>
    </x:row>
    <x:row r="479">
      <x:c r="A479" s="50" t="str">
        <x:v>SP</x:v>
      </x:c>
      <x:c r="B479" s="111" t="str">
        <x:v>SPM</x:v>
      </x:c>
      <x:c r="C479" s="111" t="str">
        <x:v>SANTA ISABEL</x:v>
      </x:c>
      <x:c r="D479" s="111" t="n">
        <x:v>3546801</x:v>
      </x:c>
      <x:c r="E479" s="111" t="str">
        <x:v>C</x:v>
      </x:c>
      <x:c r="F479" s="51" t="str">
        <x:v>-</x:v>
      </x:c>
    </x:row>
    <x:row r="480">
      <x:c r="A480" s="50" t="str">
        <x:v>MG</x:v>
      </x:c>
      <x:c r="B480" s="111" t="str">
        <x:v>MG</x:v>
      </x:c>
      <x:c r="C480" s="111" t="str">
        <x:v>JANAUBA</x:v>
      </x:c>
      <x:c r="D480" s="111" t="n">
        <x:v>3135100</x:v>
      </x:c>
      <x:c r="E480" s="111" t="str">
        <x:v>C</x:v>
      </x:c>
      <x:c r="F480" s="51" t="str">
        <x:v>-</x:v>
      </x:c>
    </x:row>
    <x:row r="481">
      <x:c r="A481" s="50" t="str">
        <x:v>MA</x:v>
      </x:c>
      <x:c r="B481" s="111" t="str">
        <x:v>MA</x:v>
      </x:c>
      <x:c r="C481" s="111" t="str">
        <x:v>BALSAS</x:v>
      </x:c>
      <x:c r="D481" s="111" t="n">
        <x:v>2101400</x:v>
      </x:c>
      <x:c r="E481" s="111" t="str">
        <x:v>C</x:v>
      </x:c>
      <x:c r="F481" s="51" t="str">
        <x:v>C</x:v>
      </x:c>
    </x:row>
    <x:row r="482">
      <x:c r="A482" s="50" t="str">
        <x:v>SP</x:v>
      </x:c>
      <x:c r="B482" s="111" t="str">
        <x:v>SPI</x:v>
      </x:c>
      <x:c r="C482" s="111" t="str">
        <x:v>SANTA CRUZ DO RIO PARDO</x:v>
      </x:c>
      <x:c r="D482" s="111" t="n">
        <x:v>3546405</x:v>
      </x:c>
      <x:c r="E482" s="111" t="str">
        <x:v>C</x:v>
      </x:c>
      <x:c r="F482" s="51" t="str">
        <x:v>C</x:v>
      </x:c>
    </x:row>
    <x:row r="483">
      <x:c r="A483" s="50" t="str">
        <x:v>PE</x:v>
      </x:c>
      <x:c r="B483" s="111" t="str">
        <x:v>PE</x:v>
      </x:c>
      <x:c r="C483" s="111" t="str">
        <x:v>IPOJUCA</x:v>
      </x:c>
      <x:c r="D483" s="111" t="n">
        <x:v>2607208</x:v>
      </x:c>
      <x:c r="E483" s="111" t="str">
        <x:v>C</x:v>
      </x:c>
      <x:c r="F483" s="51" t="str">
        <x:v>-</x:v>
      </x:c>
    </x:row>
    <x:row r="484">
      <x:c r="A484" s="50" t="str">
        <x:v>SC</x:v>
      </x:c>
      <x:c r="B484" s="111" t="str">
        <x:v>SC</x:v>
      </x:c>
      <x:c r="C484" s="111" t="str">
        <x:v>TIJUCAS</x:v>
      </x:c>
      <x:c r="D484" s="111" t="n">
        <x:v>4218004</x:v>
      </x:c>
      <x:c r="E484" s="111" t="str">
        <x:v>C</x:v>
      </x:c>
      <x:c r="F484" s="51" t="str">
        <x:v>-</x:v>
      </x:c>
    </x:row>
    <x:row r="485">
      <x:c r="A485" s="50" t="str">
        <x:v>MA</x:v>
      </x:c>
      <x:c r="B485" s="111" t="str">
        <x:v>MA</x:v>
      </x:c>
      <x:c r="C485" s="111" t="str">
        <x:v>CAXIAS</x:v>
      </x:c>
      <x:c r="D485" s="111" t="n">
        <x:v>2103000</x:v>
      </x:c>
      <x:c r="E485" s="111" t="str">
        <x:v>C</x:v>
      </x:c>
      <x:c r="F485" s="51" t="str">
        <x:v>-</x:v>
      </x:c>
    </x:row>
    <x:row r="486">
      <x:c r="A486" s="50" t="str">
        <x:v>SP</x:v>
      </x:c>
      <x:c r="B486" s="111" t="str">
        <x:v>SPI</x:v>
      </x:c>
      <x:c r="C486" s="111" t="str">
        <x:v>TIETE</x:v>
      </x:c>
      <x:c r="D486" s="111" t="n">
        <x:v>3554508</x:v>
      </x:c>
      <x:c r="E486" s="111" t="str">
        <x:v>C</x:v>
      </x:c>
      <x:c r="F486" s="51" t="str">
        <x:v>-</x:v>
      </x:c>
    </x:row>
    <x:row r="487">
      <x:c r="A487" s="50" t="str">
        <x:v>SP</x:v>
      </x:c>
      <x:c r="B487" s="111" t="str">
        <x:v>SPI</x:v>
      </x:c>
      <x:c r="C487" s="111" t="str">
        <x:v>PORTO FELIZ</x:v>
      </x:c>
      <x:c r="D487" s="111" t="n">
        <x:v>3540606</x:v>
      </x:c>
      <x:c r="E487" s="111" t="str">
        <x:v>C</x:v>
      </x:c>
      <x:c r="F487" s="51" t="str">
        <x:v>-</x:v>
      </x:c>
    </x:row>
    <x:row r="488">
      <x:c r="A488" s="50" t="str">
        <x:v>PA</x:v>
      </x:c>
      <x:c r="B488" s="111" t="str">
        <x:v>PA</x:v>
      </x:c>
      <x:c r="C488" s="111" t="str">
        <x:v>PARAGOMINAS</x:v>
      </x:c>
      <x:c r="D488" s="111" t="n">
        <x:v>1505502</x:v>
      </x:c>
      <x:c r="E488" s="111" t="str">
        <x:v>C</x:v>
      </x:c>
      <x:c r="F488" s="51" t="str">
        <x:v>C</x:v>
      </x:c>
    </x:row>
    <x:row r="489">
      <x:c r="A489" s="50" t="str">
        <x:v>MG</x:v>
      </x:c>
      <x:c r="B489" s="111" t="str">
        <x:v>MG</x:v>
      </x:c>
      <x:c r="C489" s="111" t="str">
        <x:v>TRES PONTAS</x:v>
      </x:c>
      <x:c r="D489" s="111" t="n">
        <x:v>3169406</x:v>
      </x:c>
      <x:c r="E489" s="111" t="str">
        <x:v>C</x:v>
      </x:c>
      <x:c r="F489" s="51" t="str">
        <x:v>C</x:v>
      </x:c>
    </x:row>
    <x:row r="490">
      <x:c r="A490" s="50" t="str">
        <x:v>PB</x:v>
      </x:c>
      <x:c r="B490" s="111" t="str">
        <x:v>PB</x:v>
      </x:c>
      <x:c r="C490" s="111" t="str">
        <x:v>BAYEUX</x:v>
      </x:c>
      <x:c r="D490" s="111" t="n">
        <x:v>2501807</x:v>
      </x:c>
      <x:c r="E490" s="111" t="str">
        <x:v>C</x:v>
      </x:c>
      <x:c r="F490" s="51" t="str">
        <x:v>-</x:v>
      </x:c>
    </x:row>
    <x:row r="491">
      <x:c r="A491" s="50" t="str">
        <x:v>RN</x:v>
      </x:c>
      <x:c r="B491" s="111" t="str">
        <x:v>RN</x:v>
      </x:c>
      <x:c r="C491" s="111" t="str">
        <x:v>SAO GONCALO DO AMARANTE</x:v>
      </x:c>
      <x:c r="D491" s="111" t="n">
        <x:v>2412005</x:v>
      </x:c>
      <x:c r="E491" s="111" t="str">
        <x:v>C</x:v>
      </x:c>
      <x:c r="F491" s="51" t="str">
        <x:v>-</x:v>
      </x:c>
    </x:row>
    <x:row r="492">
      <x:c r="A492" s="50" t="str">
        <x:v>SP</x:v>
      </x:c>
      <x:c r="B492" s="111" t="str">
        <x:v>SPI</x:v>
      </x:c>
      <x:c r="C492" s="111" t="str">
        <x:v>CAMPOS DO JORDAO</x:v>
      </x:c>
      <x:c r="D492" s="111" t="n">
        <x:v>3509700</x:v>
      </x:c>
      <x:c r="E492" s="111" t="str">
        <x:v>C</x:v>
      </x:c>
      <x:c r="F492" s="51" t="str">
        <x:v>C</x:v>
      </x:c>
    </x:row>
    <x:row r="493">
      <x:c r="A493" s="52"/>
      <x:c r="B493" s="112"/>
      <x:c r="C493" s="112"/>
      <x:c r="D493" s="112"/>
      <x:c r="E493" s="112"/>
      <x:c r="F493" s="5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16b6f5028dd4d8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5" t="str">
        <x:v>CAPITAIS E LOCALIDADES FORTALEZA E+</x:v>
      </x:c>
      <x:c r="B1" s="5"/>
      <x:c r="C1" s="5"/>
      <x:c r="D1" s="5"/>
      <x:c r="E1" s="5"/>
    </x:row>
    <x:row r="2" ht="32" customHeight="1">
      <x:c r="A2" s="12" t="str">
        <x:v>Base auxiliar para identificar capital/interior e localidades destacadas na tabela específica.</x:v>
      </x:c>
      <x:c r="B2" s="12"/>
      <x:c r="C2" s="12"/>
      <x:c r="D2" s="12"/>
      <x:c r="E2" s="12"/>
    </x:row>
    <x:row r="4" ht="30" customHeight="1">
      <x:c r="A4" s="24" t="str">
        <x:v>UF</x:v>
      </x:c>
      <x:c r="B4" s="99" t="str">
        <x:v>LOCALIDADE</x:v>
      </x:c>
      <x:c r="C4" s="99" t="str">
        <x:v>TIPO</x:v>
      </x:c>
      <x:c r="D4" s="25" t="str">
        <x:v>FONTE</x:v>
      </x:c>
    </x:row>
    <x:row r="5">
      <x:c r="A5" s="48" t="str">
        <x:v>AC</x:v>
      </x:c>
      <x:c r="B5" s="110" t="str">
        <x:v>RIO BRANCO</x:v>
      </x:c>
      <x:c r="C5" s="110" t="str">
        <x:v>CAPITAL</x:v>
      </x:c>
      <x:c r="D5" s="49" t="str">
        <x:v>LISTA_CAPITAIS_BRASIL</x:v>
      </x:c>
    </x:row>
    <x:row r="6">
      <x:c r="A6" s="50" t="str">
        <x:v>AL</x:v>
      </x:c>
      <x:c r="B6" s="111" t="str">
        <x:v>MACEIO</x:v>
      </x:c>
      <x:c r="C6" s="111" t="str">
        <x:v>CAPITAL</x:v>
      </x:c>
      <x:c r="D6" s="51" t="str">
        <x:v>LISTA_CAPITAIS_BRASIL</x:v>
      </x:c>
    </x:row>
    <x:row r="7">
      <x:c r="A7" s="50" t="str">
        <x:v>AP</x:v>
      </x:c>
      <x:c r="B7" s="111" t="str">
        <x:v>MACAPA</x:v>
      </x:c>
      <x:c r="C7" s="111" t="str">
        <x:v>CAPITAL</x:v>
      </x:c>
      <x:c r="D7" s="51" t="str">
        <x:v>LISTA_CAPITAIS_BRASIL</x:v>
      </x:c>
    </x:row>
    <x:row r="8">
      <x:c r="A8" s="50" t="str">
        <x:v>AM</x:v>
      </x:c>
      <x:c r="B8" s="111" t="str">
        <x:v>MANAUS</x:v>
      </x:c>
      <x:c r="C8" s="111" t="str">
        <x:v>CAPITAL</x:v>
      </x:c>
      <x:c r="D8" s="51" t="str">
        <x:v>LISTA_CAPITAIS_BRASIL</x:v>
      </x:c>
    </x:row>
    <x:row r="9">
      <x:c r="A9" s="50" t="str">
        <x:v>BA</x:v>
      </x:c>
      <x:c r="B9" s="111" t="str">
        <x:v>SALVADOR</x:v>
      </x:c>
      <x:c r="C9" s="111" t="str">
        <x:v>CAPITAL</x:v>
      </x:c>
      <x:c r="D9" s="51" t="str">
        <x:v>LISTA_CAPITAIS_BRASIL</x:v>
      </x:c>
    </x:row>
    <x:row r="10">
      <x:c r="A10" s="50" t="str">
        <x:v>CE</x:v>
      </x:c>
      <x:c r="B10" s="111" t="str">
        <x:v>FORTALEZA</x:v>
      </x:c>
      <x:c r="C10" s="111" t="str">
        <x:v>CAPITAL</x:v>
      </x:c>
      <x:c r="D10" s="51" t="str">
        <x:v>LISTA_CAPITAIS_BRASIL</x:v>
      </x:c>
    </x:row>
    <x:row r="11">
      <x:c r="A11" s="50" t="str">
        <x:v>DF</x:v>
      </x:c>
      <x:c r="B11" s="111" t="str">
        <x:v>BRASILIA</x:v>
      </x:c>
      <x:c r="C11" s="111" t="str">
        <x:v>CAPITAL</x:v>
      </x:c>
      <x:c r="D11" s="51" t="str">
        <x:v>LISTA_CAPITAIS_BRASIL</x:v>
      </x:c>
    </x:row>
    <x:row r="12">
      <x:c r="A12" s="50" t="str">
        <x:v>ES</x:v>
      </x:c>
      <x:c r="B12" s="111" t="str">
        <x:v>VITORIA</x:v>
      </x:c>
      <x:c r="C12" s="111" t="str">
        <x:v>CAPITAL</x:v>
      </x:c>
      <x:c r="D12" s="51" t="str">
        <x:v>LISTA_CAPITAIS_BRASIL</x:v>
      </x:c>
    </x:row>
    <x:row r="13">
      <x:c r="A13" s="50" t="str">
        <x:v>GO</x:v>
      </x:c>
      <x:c r="B13" s="111" t="str">
        <x:v>GOIANIA</x:v>
      </x:c>
      <x:c r="C13" s="111" t="str">
        <x:v>CAPITAL</x:v>
      </x:c>
      <x:c r="D13" s="51" t="str">
        <x:v>LISTA_CAPITAIS_BRASIL</x:v>
      </x:c>
    </x:row>
    <x:row r="14">
      <x:c r="A14" s="50" t="str">
        <x:v>MA</x:v>
      </x:c>
      <x:c r="B14" s="111" t="str">
        <x:v>SAO LUIS</x:v>
      </x:c>
      <x:c r="C14" s="111" t="str">
        <x:v>CAPITAL</x:v>
      </x:c>
      <x:c r="D14" s="51" t="str">
        <x:v>LISTA_CAPITAIS_BRASIL</x:v>
      </x:c>
    </x:row>
    <x:row r="15">
      <x:c r="A15" s="50" t="str">
        <x:v>MT</x:v>
      </x:c>
      <x:c r="B15" s="111" t="str">
        <x:v>CUIABA</x:v>
      </x:c>
      <x:c r="C15" s="111" t="str">
        <x:v>CAPITAL</x:v>
      </x:c>
      <x:c r="D15" s="51" t="str">
        <x:v>LISTA_CAPITAIS_BRASIL</x:v>
      </x:c>
    </x:row>
    <x:row r="16">
      <x:c r="A16" s="50" t="str">
        <x:v>MS</x:v>
      </x:c>
      <x:c r="B16" s="111" t="str">
        <x:v>CAMPO GRANDE</x:v>
      </x:c>
      <x:c r="C16" s="111" t="str">
        <x:v>CAPITAL</x:v>
      </x:c>
      <x:c r="D16" s="51" t="str">
        <x:v>LISTA_CAPITAIS_BRASIL</x:v>
      </x:c>
    </x:row>
    <x:row r="17">
      <x:c r="A17" s="50" t="str">
        <x:v>MG</x:v>
      </x:c>
      <x:c r="B17" s="111" t="str">
        <x:v>BELO HORIZONTE</x:v>
      </x:c>
      <x:c r="C17" s="111" t="str">
        <x:v>CAPITAL</x:v>
      </x:c>
      <x:c r="D17" s="51" t="str">
        <x:v>LISTA_CAPITAIS_BRASIL</x:v>
      </x:c>
    </x:row>
    <x:row r="18">
      <x:c r="A18" s="50" t="str">
        <x:v>PA</x:v>
      </x:c>
      <x:c r="B18" s="111" t="str">
        <x:v>BELEM</x:v>
      </x:c>
      <x:c r="C18" s="111" t="str">
        <x:v>CAPITAL</x:v>
      </x:c>
      <x:c r="D18" s="51" t="str">
        <x:v>LISTA_CAPITAIS_BRASIL</x:v>
      </x:c>
    </x:row>
    <x:row r="19">
      <x:c r="A19" s="50" t="str">
        <x:v>PB</x:v>
      </x:c>
      <x:c r="B19" s="111" t="str">
        <x:v>JOAO PESSOA</x:v>
      </x:c>
      <x:c r="C19" s="111" t="str">
        <x:v>CAPITAL</x:v>
      </x:c>
      <x:c r="D19" s="51" t="str">
        <x:v>LISTA_CAPITAIS_BRASIL</x:v>
      </x:c>
    </x:row>
    <x:row r="20">
      <x:c r="A20" s="50" t="str">
        <x:v>PR</x:v>
      </x:c>
      <x:c r="B20" s="111" t="str">
        <x:v>CURITIBA</x:v>
      </x:c>
      <x:c r="C20" s="111" t="str">
        <x:v>CAPITAL</x:v>
      </x:c>
      <x:c r="D20" s="51" t="str">
        <x:v>LISTA_CAPITAIS_BRASIL</x:v>
      </x:c>
    </x:row>
    <x:row r="21">
      <x:c r="A21" s="50" t="str">
        <x:v>PE</x:v>
      </x:c>
      <x:c r="B21" s="111" t="str">
        <x:v>RECIFE</x:v>
      </x:c>
      <x:c r="C21" s="111" t="str">
        <x:v>CAPITAL</x:v>
      </x:c>
      <x:c r="D21" s="51" t="str">
        <x:v>LISTA_CAPITAIS_BRASIL</x:v>
      </x:c>
    </x:row>
    <x:row r="22">
      <x:c r="A22" s="50" t="str">
        <x:v>PI</x:v>
      </x:c>
      <x:c r="B22" s="111" t="str">
        <x:v>TERESINA</x:v>
      </x:c>
      <x:c r="C22" s="111" t="str">
        <x:v>CAPITAL</x:v>
      </x:c>
      <x:c r="D22" s="51" t="str">
        <x:v>LISTA_CAPITAIS_BRASIL</x:v>
      </x:c>
    </x:row>
    <x:row r="23">
      <x:c r="A23" s="50" t="str">
        <x:v>RJ</x:v>
      </x:c>
      <x:c r="B23" s="111" t="str">
        <x:v>RIO DE JANEIRO</x:v>
      </x:c>
      <x:c r="C23" s="111" t="str">
        <x:v>CAPITAL</x:v>
      </x:c>
      <x:c r="D23" s="51" t="str">
        <x:v>LISTA_CAPITAIS_BRASIL</x:v>
      </x:c>
    </x:row>
    <x:row r="24">
      <x:c r="A24" s="50" t="str">
        <x:v>RN</x:v>
      </x:c>
      <x:c r="B24" s="111" t="str">
        <x:v>NATAL</x:v>
      </x:c>
      <x:c r="C24" s="111" t="str">
        <x:v>CAPITAL</x:v>
      </x:c>
      <x:c r="D24" s="51" t="str">
        <x:v>LISTA_CAPITAIS_BRASIL</x:v>
      </x:c>
    </x:row>
    <x:row r="25">
      <x:c r="A25" s="50" t="str">
        <x:v>RS</x:v>
      </x:c>
      <x:c r="B25" s="111" t="str">
        <x:v>PORTO ALEGRE</x:v>
      </x:c>
      <x:c r="C25" s="111" t="str">
        <x:v>CAPITAL</x:v>
      </x:c>
      <x:c r="D25" s="51" t="str">
        <x:v>LISTA_CAPITAIS_BRASIL</x:v>
      </x:c>
    </x:row>
    <x:row r="26">
      <x:c r="A26" s="50" t="str">
        <x:v>RO</x:v>
      </x:c>
      <x:c r="B26" s="111" t="str">
        <x:v>PORTO VELHO</x:v>
      </x:c>
      <x:c r="C26" s="111" t="str">
        <x:v>CAPITAL</x:v>
      </x:c>
      <x:c r="D26" s="51" t="str">
        <x:v>LISTA_CAPITAIS_BRASIL</x:v>
      </x:c>
    </x:row>
    <x:row r="27">
      <x:c r="A27" s="50" t="str">
        <x:v>RR</x:v>
      </x:c>
      <x:c r="B27" s="111" t="str">
        <x:v>BOA VISTA</x:v>
      </x:c>
      <x:c r="C27" s="111" t="str">
        <x:v>CAPITAL</x:v>
      </x:c>
      <x:c r="D27" s="51" t="str">
        <x:v>LISTA_CAPITAIS_BRASIL</x:v>
      </x:c>
    </x:row>
    <x:row r="28">
      <x:c r="A28" s="50" t="str">
        <x:v>SC</x:v>
      </x:c>
      <x:c r="B28" s="111" t="str">
        <x:v>FLORIANOPOLIS</x:v>
      </x:c>
      <x:c r="C28" s="111" t="str">
        <x:v>CAPITAL</x:v>
      </x:c>
      <x:c r="D28" s="51" t="str">
        <x:v>LISTA_CAPITAIS_BRASIL</x:v>
      </x:c>
    </x:row>
    <x:row r="29">
      <x:c r="A29" s="50" t="str">
        <x:v>SP</x:v>
      </x:c>
      <x:c r="B29" s="111" t="str">
        <x:v>SAO PAULO</x:v>
      </x:c>
      <x:c r="C29" s="111" t="str">
        <x:v>CAPITAL</x:v>
      </x:c>
      <x:c r="D29" s="51" t="str">
        <x:v>LISTA_CAPITAIS_BRASIL</x:v>
      </x:c>
    </x:row>
    <x:row r="30">
      <x:c r="A30" s="50" t="str">
        <x:v>SE</x:v>
      </x:c>
      <x:c r="B30" s="111" t="str">
        <x:v>ARACAJU</x:v>
      </x:c>
      <x:c r="C30" s="111" t="str">
        <x:v>CAPITAL</x:v>
      </x:c>
      <x:c r="D30" s="51" t="str">
        <x:v>LISTA_CAPITAIS_BRASIL</x:v>
      </x:c>
    </x:row>
    <x:row r="31">
      <x:c r="A31" s="50" t="str">
        <x:v>TO</x:v>
      </x:c>
      <x:c r="B31" s="111" t="str">
        <x:v>PALMAS</x:v>
      </x:c>
      <x:c r="C31" s="111" t="str">
        <x:v>CAPITAL</x:v>
      </x:c>
      <x:c r="D31" s="51" t="str">
        <x:v>LISTA_CAPITAIS_BRASIL</x:v>
      </x:c>
    </x:row>
    <x:row r="32">
      <x:c r="A32" s="50" t="str">
        <x:v>CE</x:v>
      </x:c>
      <x:c r="B32" s="111" t="str">
        <x:v>FORTALEZA</x:v>
      </x:c>
      <x:c r="C32" s="111" t="str">
        <x:v>FORTALEZA_E_PLUS</x:v>
      </x:c>
      <x:c r="D32" s="51" t="str">
        <x:v>TABELA PLATINUM - FORTALEZA E + 2026</x:v>
      </x:c>
    </x:row>
    <x:row r="33">
      <x:c r="A33" s="50" t="str">
        <x:v>CE</x:v>
      </x:c>
      <x:c r="B33" s="111" t="str">
        <x:v>CAUCAIA</x:v>
      </x:c>
      <x:c r="C33" s="111" t="str">
        <x:v>FORTALEZA_E_PLUS</x:v>
      </x:c>
      <x:c r="D33" s="51" t="str">
        <x:v>TABELA PLATINUM - FORTALEZA E + 2026</x:v>
      </x:c>
    </x:row>
    <x:row r="34">
      <x:c r="A34" s="50" t="str">
        <x:v>CE</x:v>
      </x:c>
      <x:c r="B34" s="111" t="str">
        <x:v>MARACANAU</x:v>
      </x:c>
      <x:c r="C34" s="111" t="str">
        <x:v>FORTALEZA_E_PLUS</x:v>
      </x:c>
      <x:c r="D34" s="51" t="str">
        <x:v>TABELA PLATINUM - FORTALEZA E + 2026</x:v>
      </x:c>
    </x:row>
    <x:row r="35">
      <x:c r="A35" s="50" t="str">
        <x:v>CE</x:v>
      </x:c>
      <x:c r="B35" s="111" t="str">
        <x:v>EUSEBIO</x:v>
      </x:c>
      <x:c r="C35" s="111" t="str">
        <x:v>FORTALEZA_E_PLUS</x:v>
      </x:c>
      <x:c r="D35" s="51" t="str">
        <x:v>TABELA PLATINUM - FORTALEZA E + 2026</x:v>
      </x:c>
    </x:row>
    <x:row r="36">
      <x:c r="A36" s="50" t="str">
        <x:v>CE</x:v>
      </x:c>
      <x:c r="B36" s="111" t="str">
        <x:v>MARANGUAPE</x:v>
      </x:c>
      <x:c r="C36" s="111" t="str">
        <x:v>FORTALEZA_E_PLUS</x:v>
      </x:c>
      <x:c r="D36" s="51" t="str">
        <x:v>TABELA PLATINUM - FORTALEZA E + 2026</x:v>
      </x:c>
    </x:row>
    <x:row r="37">
      <x:c r="A37" s="50" t="str">
        <x:v>CE</x:v>
      </x:c>
      <x:c r="B37" s="111" t="str">
        <x:v>AQUIRAZ</x:v>
      </x:c>
      <x:c r="C37" s="111" t="str">
        <x:v>FORTALEZA_E_PLUS</x:v>
      </x:c>
      <x:c r="D37" s="51" t="str">
        <x:v>TABELA PLATINUM - FORTALEZA E + 2026</x:v>
      </x:c>
    </x:row>
    <x:row r="38">
      <x:c r="A38" s="50" t="str">
        <x:v>CE</x:v>
      </x:c>
      <x:c r="B38" s="111" t="str">
        <x:v>ITAITINGA</x:v>
      </x:c>
      <x:c r="C38" s="111" t="str">
        <x:v>FORTALEZA_E_PLUS</x:v>
      </x:c>
      <x:c r="D38" s="51" t="str">
        <x:v>TABELA PLATINUM - FORTALEZA E + 2026</x:v>
      </x:c>
    </x:row>
    <x:row r="39">
      <x:c r="A39" s="50" t="str">
        <x:v>CE</x:v>
      </x:c>
      <x:c r="B39" s="111" t="str">
        <x:v>PACATUBA</x:v>
      </x:c>
      <x:c r="C39" s="111" t="str">
        <x:v>FORTALEZA_E_PLUS</x:v>
      </x:c>
      <x:c r="D39" s="51" t="str">
        <x:v>TABELA PLATINUM - FORTALEZA E + 2026</x:v>
      </x:c>
    </x:row>
    <x:row r="40">
      <x:c r="A40" s="50" t="str">
        <x:v>CE</x:v>
      </x:c>
      <x:c r="B40" s="111" t="str">
        <x:v>GUAIUBA</x:v>
      </x:c>
      <x:c r="C40" s="111" t="str">
        <x:v>FORTALEZA_E_PLUS</x:v>
      </x:c>
      <x:c r="D40" s="51" t="str">
        <x:v>TABELA PLATINUM - FORTALEZA E + 2026</x:v>
      </x:c>
    </x:row>
    <x:row r="41">
      <x:c r="A41" s="50" t="str">
        <x:v>CE</x:v>
      </x:c>
      <x:c r="B41" s="111" t="str">
        <x:v>HORIZONTE</x:v>
      </x:c>
      <x:c r="C41" s="111" t="str">
        <x:v>FORTALEZA_E_PLUS</x:v>
      </x:c>
      <x:c r="D41" s="51" t="str">
        <x:v>TABELA PLATINUM - FORTALEZA E + 2026</x:v>
      </x:c>
    </x:row>
    <x:row r="42">
      <x:c r="A42" s="50" t="str">
        <x:v>CE</x:v>
      </x:c>
      <x:c r="B42" s="111" t="str">
        <x:v>PINDORETAMA</x:v>
      </x:c>
      <x:c r="C42" s="111" t="str">
        <x:v>FORTALEZA_E_PLUS</x:v>
      </x:c>
      <x:c r="D42" s="51" t="str">
        <x:v>TABELA PLATINUM - FORTALEZA E + 2026</x:v>
      </x:c>
    </x:row>
    <x:row r="43">
      <x:c r="A43" s="50" t="str">
        <x:v>CE</x:v>
      </x:c>
      <x:c r="B43" s="111" t="str">
        <x:v>SAO GONCALO DO AMARANTE</x:v>
      </x:c>
      <x:c r="C43" s="111" t="str">
        <x:v>FORTALEZA_E_PLUS</x:v>
      </x:c>
      <x:c r="D43" s="51" t="str">
        <x:v>TABELA PLATINUM - FORTALEZA E + 2026</x:v>
      </x:c>
    </x:row>
    <x:row r="44">
      <x:c r="A44" s="50" t="str">
        <x:v>CE</x:v>
      </x:c>
      <x:c r="B44" s="111" t="str">
        <x:v>PACAJUS</x:v>
      </x:c>
      <x:c r="C44" s="111" t="str">
        <x:v>FORTALEZA_E_PLUS</x:v>
      </x:c>
      <x:c r="D44" s="51" t="str">
        <x:v>TABELA PLATINUM - FORTALEZA E + 2026</x:v>
      </x:c>
    </x:row>
    <x:row r="45">
      <x:c r="A45" s="52"/>
      <x:c r="B45" s="112"/>
      <x:c r="C45" s="112"/>
      <x:c r="D45" s="5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6d2c92b404d4d4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46" hidden="0" customWidth="1"/>
  </x:cols>
  <x:sheetData>
    <x:row r="1" ht="30" customHeight="1">
      <x:c r="A1" s="5" t="str">
        <x:v>CÓDIGOS DE SERVIÇO</x:v>
      </x:c>
      <x:c r="B1" s="5"/>
      <x:c r="C1" s="5"/>
      <x:c r="D1" s="5"/>
      <x:c r="E1" s="5"/>
    </x:row>
    <x:row r="2" ht="32" customHeight="1">
      <x:c r="A2" s="12" t="str">
        <x:v>Mantém códigos atuais, históricos e aliases usados pelos arquivos importados.</x:v>
      </x:c>
      <x:c r="B2" s="12"/>
      <x:c r="C2" s="12"/>
      <x:c r="D2" s="12"/>
      <x:c r="E2" s="12"/>
    </x:row>
    <x:row r="4" ht="30" customHeight="1">
      <x:c r="A4" s="24" t="str">
        <x:v>CODIGO</x:v>
      </x:c>
      <x:c r="B4" s="99" t="str">
        <x:v>DESCRICAO</x:v>
      </x:c>
      <x:c r="C4" s="25" t="str">
        <x:v>CATEGORIA</x:v>
      </x:c>
    </x:row>
    <x:row r="5">
      <x:c r="A5" s="48" t="str">
        <x:v>0302-6</x:v>
      </x:c>
      <x:c r="B5" s="110" t="str">
        <x:v>DESVIO MINI ENVIOS UO (POSTAGEM INDUSTRIAL)</x:v>
      </x:c>
      <x:c r="C5" s="49" t="str">
        <x:v>SERVIÇOS DA POLÍTICA COMERCIAL</x:v>
      </x:c>
    </x:row>
    <x:row r="6">
      <x:c r="A6" s="50" t="str">
        <x:v>0401-4</x:v>
      </x:c>
      <x:c r="B6" s="111" t="str">
        <x:v>SEDEX À VISTA</x:v>
      </x:c>
      <x:c r="C6" s="51" t="str">
        <x:v>SERVIÇOS DA POLÍTICA COMERCIAL</x:v>
      </x:c>
    </x:row>
    <x:row r="7">
      <x:c r="A7" s="50" t="str">
        <x:v>0406-5</x:v>
      </x:c>
      <x:c r="B7" s="111" t="str">
        <x:v>SEDEX À VISTA PAGAMENTO NA ENTREGA</x:v>
      </x:c>
      <x:c r="C7" s="51" t="str">
        <x:v>SERVIÇOS DA POLÍTICA COMERCIAL</x:v>
      </x:c>
    </x:row>
    <x:row r="8">
      <x:c r="A8" s="50" t="str">
        <x:v>0658-0</x:v>
      </x:c>
      <x:c r="B8" s="111" t="str">
        <x:v>SEDEX 10 LOG+</x:v>
      </x:c>
      <x:c r="C8" s="51" t="str">
        <x:v>SERVIÇOS DA POLÍTICA COMERCIAL</x:v>
      </x:c>
    </x:row>
    <x:row r="9">
      <x:c r="A9" s="50" t="str">
        <x:v>0659-9</x:v>
      </x:c>
      <x:c r="B9" s="111" t="str">
        <x:v>SEDEX 12 LOG+</x:v>
      </x:c>
      <x:c r="C9" s="51" t="str">
        <x:v>SERVIÇOS DA POLÍTICA COMERCIAL</x:v>
      </x:c>
    </x:row>
    <x:row r="10">
      <x:c r="A10" s="50" t="str">
        <x:v>0660-2</x:v>
      </x:c>
      <x:c r="B10" s="111" t="str">
        <x:v>SEDEX HOJE LOG+</x:v>
      </x:c>
      <x:c r="C10" s="51" t="str">
        <x:v>SERVIÇOS DA POLÍTICA COMERCIAL</x:v>
      </x:c>
    </x:row>
    <x:row r="11">
      <x:c r="A11" s="50" t="str">
        <x:v>0413-8</x:v>
      </x:c>
      <x:c r="B11" s="111" t="str">
        <x:v>SEDEX CONTRATO GRANDES FORMATOS (TABELA 0416-2)</x:v>
      </x:c>
      <x:c r="C11" s="51" t="str">
        <x:v>SERVIÇOS DA POLÍTICA COMERCIAL</x:v>
      </x:c>
    </x:row>
    <x:row r="12">
      <x:c r="A12" s="50" t="str">
        <x:v>0348-4</x:v>
      </x:c>
      <x:c r="B12" s="111" t="str">
        <x:v>LR SEDEX CTR GRAND FORMATOS</x:v>
      </x:c>
      <x:c r="C12" s="51" t="str">
        <x:v>SERVIÇOS DA POLÍTICA COMERCIAL</x:v>
      </x:c>
    </x:row>
    <x:row r="13">
      <x:c r="A13" s="50" t="str">
        <x:v>0416-2</x:v>
      </x:c>
      <x:c r="B13" s="111" t="str">
        <x:v>SEDEX CONTRATO AGÊNCIA</x:v>
      </x:c>
      <x:c r="C13" s="51" t="str">
        <x:v>SERVIÇOS DA POLÍTICA COMERCIAL</x:v>
      </x:c>
    </x:row>
    <x:row r="14">
      <x:c r="A14" s="50" t="str">
        <x:v>0417-0</x:v>
      </x:c>
      <x:c r="B14" s="111" t="str">
        <x:v>SEDEX REVERSO (ESPELHO TABELA 0416-2)</x:v>
      </x:c>
      <x:c r="C14" s="51" t="str">
        <x:v>SERVIÇOS DA POLÍTICA COMERCIAL</x:v>
      </x:c>
    </x:row>
    <x:row r="15">
      <x:c r="A15" s="50" t="str">
        <x:v>0418-9</x:v>
      </x:c>
      <x:c r="B15" s="111" t="str">
        <x:v>SEDEX CONTRATO AGÊNCIA PAGAMENTO NA ENTREGA</x:v>
      </x:c>
      <x:c r="C15" s="51" t="str">
        <x:v>SERVIÇOS DA POLÍTICA COMERCIAL</x:v>
      </x:c>
    </x:row>
    <x:row r="16">
      <x:c r="A16" s="50" t="str">
        <x:v>0420-0</x:v>
      </x:c>
      <x:c r="B16" s="111" t="str">
        <x:v>SEDEX KIT (REFERÊNCIA ENC 2.0 – 06/03/2020)</x:v>
      </x:c>
      <x:c r="C16" s="51" t="str">
        <x:v>SERVIÇOS DA POLÍTICA COMERCIAL</x:v>
      </x:c>
    </x:row>
    <x:row r="17">
      <x:c r="A17" s="50" t="str">
        <x:v>0421-9</x:v>
      </x:c>
      <x:c r="B17" s="111" t="str">
        <x:v>SEDEX KIT ISENÇÃO</x:v>
      </x:c>
      <x:c r="C17" s="51" t="str">
        <x:v>SERVIÇOS DA POLÍTICA COMERCIAL</x:v>
      </x:c>
    </x:row>
    <x:row r="18">
      <x:c r="A18" s="50" t="str">
        <x:v>0422-7</x:v>
      </x:c>
      <x:c r="B18" s="111" t="str">
        <x:v>CORREIOS MINI ENVIOS CTR AG</x:v>
      </x:c>
      <x:c r="C18" s="51" t="str">
        <x:v>SERVIÇOS DA POLÍTICA COMERCIAL</x:v>
      </x:c>
    </x:row>
    <x:row r="19">
      <x:c r="A19" s="50" t="str">
        <x:v>0431-6</x:v>
      </x:c>
      <x:c r="B19" s="111" t="str">
        <x:v>SEDEX CONTRATO UO (POSTAGEM INDUSTRIAL)</x:v>
      </x:c>
      <x:c r="C19" s="51" t="str">
        <x:v>SERVIÇOS DA POLÍTICA COMERCIAL</x:v>
      </x:c>
    </x:row>
    <x:row r="20">
      <x:c r="A20" s="50" t="str">
        <x:v>0439-1</x:v>
      </x:c>
      <x:c r="B20" s="111" t="str">
        <x:v>CORREIOS MINI ENVIOS CTR UO (POSTAGEM INDUSTRIAL)</x:v>
      </x:c>
      <x:c r="C20" s="51" t="str">
        <x:v>SERVIÇOS DA POLÍTICA COMERCIAL</x:v>
      </x:c>
    </x:row>
    <x:row r="21">
      <x:c r="A21" s="50" t="str">
        <x:v>0451-0</x:v>
      </x:c>
      <x:c r="B21" s="111" t="str">
        <x:v>PAC À VISTA</x:v>
      </x:c>
      <x:c r="C21" s="51" t="str">
        <x:v>SERVIÇOS DA POLÍTICA COMERCIAL</x:v>
      </x:c>
    </x:row>
    <x:row r="22">
      <x:c r="A22" s="50" t="str">
        <x:v>0466-9</x:v>
      </x:c>
      <x:c r="B22" s="111" t="str">
        <x:v>PAC CONTRATO AGÊNCIA</x:v>
      </x:c>
      <x:c r="C22" s="51" t="str">
        <x:v>SERVIÇOS DA POLÍTICA COMERCIAL</x:v>
      </x:c>
    </x:row>
    <x:row r="23">
      <x:c r="A23" s="50" t="str">
        <x:v>0467-7</x:v>
      </x:c>
      <x:c r="B23" s="111" t="str">
        <x:v>PAC REVERSO (ESPELHO TABELA 0466-9)</x:v>
      </x:c>
      <x:c r="C23" s="51" t="str">
        <x:v>SERVIÇOS DA POLÍTICA COMERCIAL</x:v>
      </x:c>
    </x:row>
    <x:row r="24">
      <x:c r="A24" s="50" t="str">
        <x:v>0468-5</x:v>
      </x:c>
      <x:c r="B24" s="111" t="str">
        <x:v>PAC CONTRATO AGÊNCIA PAGAMENTO NA ENTREGA</x:v>
      </x:c>
      <x:c r="C24" s="51" t="str">
        <x:v>SERVIÇOS DA POLÍTICA COMERCIAL</x:v>
      </x:c>
    </x:row>
    <x:row r="25">
      <x:c r="A25" s="50" t="str">
        <x:v>0469-3</x:v>
      </x:c>
      <x:c r="B25" s="111" t="str">
        <x:v>PAC CONTRATO GRANDES FORMATOS (TABELA 0466-9)</x:v>
      </x:c>
      <x:c r="C25" s="51" t="str">
        <x:v>SERVIÇOS DA POLÍTICA COMERCIAL</x:v>
      </x:c>
    </x:row>
    <x:row r="26">
      <x:c r="A26" s="50" t="str">
        <x:v>0678-5</x:v>
      </x:c>
      <x:c r="B26" s="111" t="str">
        <x:v>LR PAC CTR GRANDES FORMATOS</x:v>
      </x:c>
      <x:c r="C26" s="51" t="str">
        <x:v>SERVIÇOS DA POLÍTICA COMERCIAL</x:v>
      </x:c>
    </x:row>
    <x:row r="27">
      <x:c r="A27" s="50" t="str">
        <x:v>0470-7</x:v>
      </x:c>
      <x:c r="B27" s="111" t="str">
        <x:v>PAC À VISTA PAGAMENTO NA ENTREGA</x:v>
      </x:c>
      <x:c r="C27" s="51" t="str">
        <x:v>SERVIÇOS DA POLÍTICA COMERCIAL</x:v>
      </x:c>
    </x:row>
    <x:row r="28">
      <x:c r="A28" s="50" t="str">
        <x:v>0478-2</x:v>
      </x:c>
      <x:c r="B28" s="111" t="str">
        <x:v>SEDEX 12 A VISTA (J)</x:v>
      </x:c>
      <x:c r="C28" s="51" t="str">
        <x:v>SERVIÇOS DA POLÍTICA COMERCIAL</x:v>
      </x:c>
    </x:row>
    <x:row r="29">
      <x:c r="A29" s="50" t="str">
        <x:v>0494-4</x:v>
      </x:c>
      <x:c r="B29" s="111" t="str">
        <x:v>MINI ENVIOS CONTRATO REVERSO (ESPELHO TABELA 0422-7)</x:v>
      </x:c>
      <x:c r="C29" s="51" t="str">
        <x:v>SERVIÇOS DA POLÍTICA COMERCIAL</x:v>
      </x:c>
    </x:row>
    <x:row r="30">
      <x:c r="A30" s="50" t="str">
        <x:v>0479-0</x:v>
      </x:c>
      <x:c r="B30" s="111" t="str">
        <x:v>SEDEX 10 A VISTA (J)</x:v>
      </x:c>
      <x:c r="C30" s="51" t="str">
        <x:v>SERVIÇOS DA POLÍTICA COMERCIAL</x:v>
      </x:c>
    </x:row>
    <x:row r="31">
      <x:c r="A31" s="50" t="str">
        <x:v>0480-4</x:v>
      </x:c>
      <x:c r="B31" s="111" t="str">
        <x:v>SEDEX HOJE A VISTA (J)</x:v>
      </x:c>
      <x:c r="C31" s="51" t="str">
        <x:v>SERVIÇOS DA POLÍTICA COMERCIAL</x:v>
      </x:c>
    </x:row>
    <x:row r="32">
      <x:c r="A32" s="50" t="str">
        <x:v>0481-2</x:v>
      </x:c>
      <x:c r="B32" s="111" t="str">
        <x:v>PAC CONTRATO UO (POSTAGEM INDUSTRIAL)</x:v>
      </x:c>
      <x:c r="C32" s="51" t="str">
        <x:v>SERVIÇOS DA POLÍTICA COMERCIAL</x:v>
      </x:c>
    </x:row>
    <x:row r="33">
      <x:c r="A33" s="50" t="str">
        <x:v>0496-0</x:v>
      </x:c>
      <x:c r="B33" s="111" t="str">
        <x:v>DESVIO MINI ENVIOS AG</x:v>
      </x:c>
      <x:c r="C33" s="51" t="str">
        <x:v>SERVIÇOS DA POLÍTICA COMERCIAL</x:v>
      </x:c>
    </x:row>
    <x:row r="34">
      <x:c r="A34" s="50" t="str">
        <x:v>0453-7</x:v>
      </x:c>
      <x:c r="B34" s="111" t="str">
        <x:v>SEDEX CONTRATO GRANDES FORMATOS TA</x:v>
      </x:c>
      <x:c r="C34" s="51" t="str">
        <x:v>SERVIÇOS DISPONÍVEIS PARA O TERMO DE ADESÃO</x:v>
      </x:c>
    </x:row>
    <x:row r="35">
      <x:c r="A35" s="50" t="str">
        <x:v>0455-3</x:v>
      </x:c>
      <x:c r="B35" s="111" t="str">
        <x:v>SEDEX CONTRATO AGENCIA TA</x:v>
      </x:c>
      <x:c r="C35" s="51" t="str">
        <x:v>SERVIÇOS DISPONÍVEIS PARA O TERMO DE ADESÃO</x:v>
      </x:c>
    </x:row>
    <x:row r="36">
      <x:c r="A36" s="50" t="str">
        <x:v>0456-1</x:v>
      </x:c>
      <x:c r="B36" s="111" t="str">
        <x:v>SEDEX CONTRATO AGENCIA PAGAMENTO NA ENTREGA TA</x:v>
      </x:c>
      <x:c r="C36" s="51" t="str">
        <x:v>SERVIÇOS DISPONÍVEIS PARA O TERMO DE ADESÃO</x:v>
      </x:c>
    </x:row>
    <x:row r="37">
      <x:c r="A37" s="50" t="str">
        <x:v>0459-6</x:v>
      </x:c>
      <x:c r="B37" s="111" t="str">
        <x:v>PAC CONTRATO AGENCIA TA</x:v>
      </x:c>
      <x:c r="C37" s="51" t="str">
        <x:v>SERVIÇOS DISPONÍVEIS PARA O TERMO DE ADESÃO</x:v>
      </x:c>
    </x:row>
    <x:row r="38">
      <x:c r="A38" s="50" t="str">
        <x:v>0460-0</x:v>
      </x:c>
      <x:c r="B38" s="111" t="str">
        <x:v>PAC CONTRATO AGENCIA PAGAMENTO NA ENTREGA TA</x:v>
      </x:c>
      <x:c r="C38" s="51" t="str">
        <x:v>SERVIÇOS DISPONÍVEIS PARA O TERMO DE ADESÃO</x:v>
      </x:c>
    </x:row>
    <x:row r="39">
      <x:c r="A39" s="50" t="str">
        <x:v>0461-8</x:v>
      </x:c>
      <x:c r="B39" s="111" t="str">
        <x:v>PAC CONTRATO GRANDES FORMATOS TA</x:v>
      </x:c>
      <x:c r="C39" s="51" t="str">
        <x:v>SERVIÇOS DISPONÍVEIS PARA O TERMO DE ADESÃO</x:v>
      </x:c>
    </x:row>
    <x:row r="40">
      <x:c r="A40" s="50" t="str">
        <x:v>0492-8</x:v>
      </x:c>
      <x:c r="B40" s="111" t="str">
        <x:v>SEDEX REVERSO TA ESPELHO 04553</x:v>
      </x:c>
      <x:c r="C40" s="51" t="str">
        <x:v>SERVIÇOS DISPONÍVEIS PARA O TERMO DE ADESÃO</x:v>
      </x:c>
    </x:row>
    <x:row r="41">
      <x:c r="A41" s="50" t="str">
        <x:v>0493-6</x:v>
      </x:c>
      <x:c r="B41" s="111" t="str">
        <x:v>PAC REVERSO TA ESPELHO 04596</x:v>
      </x:c>
      <x:c r="C41" s="51" t="str">
        <x:v>SERVIÇOS DISPONÍVEIS PARA O TERMO DE ADESÃO</x:v>
      </x:c>
    </x:row>
    <x:row r="42">
      <x:c r="A42" s="50" t="str">
        <x:v>0495-2</x:v>
      </x:c>
      <x:c r="B42" s="111" t="str">
        <x:v>MINI ENVIOS CONTRATO REVERSO TA</x:v>
      </x:c>
      <x:c r="C42" s="51" t="str">
        <x:v>SERVIÇOS DISPONÍVEIS PARA O TERMO DE ADESÃO</x:v>
      </x:c>
    </x:row>
    <x:row r="43">
      <x:c r="A43" s="50" t="str">
        <x:v>0423-5</x:v>
      </x:c>
      <x:c r="B43" s="111" t="str">
        <x:v>CORREIOS MINI ENVIOS CTR TA (J)</x:v>
      </x:c>
      <x:c r="C43" s="51" t="str">
        <x:v>SERVIÇOS DISPONÍVEIS PARA O TERMO DE ADESÃO</x:v>
      </x:c>
    </x:row>
    <x:row r="44">
      <x:c r="A44" s="50" t="str">
        <x:v>0498-7</x:v>
      </x:c>
      <x:c r="B44" s="111" t="str">
        <x:v>DESVIO MINI ENVIOS TA</x:v>
      </x:c>
      <x:c r="C44" s="51" t="str">
        <x:v>SERVIÇOS DISPONÍVEIS PARA O TERMO DE ADESÃO</x:v>
      </x:c>
    </x:row>
    <x:row r="45">
      <x:c r="A45" s="50" t="str">
        <x:v>4016-9</x:v>
      </x:c>
      <x:c r="B45" s="111" t="str">
        <x:v>SEDEX 12 - a faturar</x:v>
      </x:c>
      <x:c r="C45" s="51" t="str">
        <x:v>SERVIÇOS PREMIUM E ADMINISTRATIVO</x:v>
      </x:c>
    </x:row>
    <x:row r="46">
      <x:c r="A46" s="50" t="str">
        <x:v>4021-5</x:v>
      </x:c>
      <x:c r="B46" s="111" t="str">
        <x:v>SEDEX 10 - a faturar</x:v>
      </x:c>
      <x:c r="C46" s="51" t="str">
        <x:v>SERVIÇOS PREMIUM E ADMINISTRATIVO</x:v>
      </x:c>
    </x:row>
    <x:row r="47">
      <x:c r="A47" s="50" t="str">
        <x:v>4029-0</x:v>
      </x:c>
      <x:c r="B47" s="111" t="str">
        <x:v>SEDEX HOJE - a faturar</x:v>
      </x:c>
      <x:c r="C47" s="51" t="str">
        <x:v>SERVIÇOS PREMIUM E ADMINISTRATIVO</x:v>
      </x:c>
    </x:row>
    <x:row r="48">
      <x:c r="A48" s="50" t="str">
        <x:v>4058-4</x:v>
      </x:c>
      <x:c r="B48" s="111" t="str">
        <x:v>SEDEX 10 REVERSO (SEDEX 10 - tab.4021-5) - a faturar</x:v>
      </x:c>
      <x:c r="C48" s="51" t="str">
        <x:v>SERVIÇOS PREMIUM E ADMINISTRATIVO</x:v>
      </x:c>
    </x:row>
    <x:row r="49">
      <x:c r="A49" s="50" t="str">
        <x:v>4083-5</x:v>
      </x:c>
      <x:c r="B49" s="111" t="str">
        <x:v>SEDEX ADMINISTRATIVO (novo SEDEX ADMINISTRATIVO)</x:v>
      </x:c>
      <x:c r="C49" s="51" t="str">
        <x:v>SERVIÇOS PREMIUM E ADMINISTRATIVO</x:v>
      </x:c>
    </x:row>
    <x:row r="50">
      <x:c r="A50" s="50" t="str">
        <x:v>4128-9</x:v>
      </x:c>
      <x:c r="B50" s="111" t="str">
        <x:v>PAC ADMINISTRATIVO (novo PAC ADMINISTRATIVO)</x:v>
      </x:c>
      <x:c r="C50" s="51" t="str">
        <x:v>SERVIÇOS PREMIUM E ADMINISTRATIVO</x:v>
      </x:c>
    </x:row>
    <x:row r="51">
      <x:c r="A51" s="50" t="str">
        <x:v>4209-9</x:v>
      </x:c>
      <x:c r="B51" s="111" t="str">
        <x:v>COLETA PROGRAMADA</x:v>
      </x:c>
      <x:c r="C51" s="51" t="str">
        <x:v>SERVIÇOS DE COLETA</x:v>
      </x:c>
    </x:row>
    <x:row r="52">
      <x:c r="A52" s="50" t="str">
        <x:v>4210-2</x:v>
      </x:c>
      <x:c r="B52" s="111" t="str">
        <x:v>COLETA NO MESMO DIA</x:v>
      </x:c>
      <x:c r="C52" s="51" t="str">
        <x:v>SERVIÇOS DE COLETA</x:v>
      </x:c>
    </x:row>
    <x:row r="53">
      <x:c r="A53" s="50" t="str">
        <x:v>4236-7</x:v>
      </x:c>
      <x:c r="B53" s="111" t="str">
        <x:v>COLETA PROGRAMADA TA</x:v>
      </x:c>
      <x:c r="C53" s="51" t="str">
        <x:v>SERVIÇOS DE COLETA</x:v>
      </x:c>
    </x:row>
    <x:row r="54">
      <x:c r="A54" s="50" t="str">
        <x:v>7787-9</x:v>
      </x:c>
      <x:c r="B54" s="111" t="str">
        <x:v>COLETA PROGRAMADA (POSTAGEM INDUSTRIAL)</x:v>
      </x:c>
      <x:c r="C54" s="51" t="str">
        <x:v>SERVIÇOS DE COLETA</x:v>
      </x:c>
    </x:row>
    <x:row r="55">
      <x:c r="A55" s="50" t="str">
        <x:v>7788-7</x:v>
      </x:c>
      <x:c r="B55" s="111" t="str">
        <x:v>COLETA AGENDADA À VISTA</x:v>
      </x:c>
      <x:c r="C55" s="51" t="str">
        <x:v>SERVIÇOS DE COLETA</x:v>
      </x:c>
    </x:row>
    <x:row r="56">
      <x:c r="A56" s="50" t="str">
        <x:v>7789-5</x:v>
      </x:c>
      <x:c r="B56" s="111" t="str">
        <x:v>COLETA AGENDADA À FATURAR</x:v>
      </x:c>
      <x:c r="C56" s="51" t="str">
        <x:v>SERVIÇOS DE COLETA</x:v>
      </x:c>
    </x:row>
    <x:row r="57">
      <x:c r="A57" s="50" t="str">
        <x:v>7790-9</x:v>
      </x:c>
      <x:c r="B57" s="111" t="str">
        <x:v>COLETA NO MESMO DIA UNITIZADOR</x:v>
      </x:c>
      <x:c r="C57" s="51" t="str">
        <x:v>SERVIÇOS DE COLETA</x:v>
      </x:c>
    </x:row>
    <x:row r="58">
      <x:c r="A58" s="50" t="str">
        <x:v>7796-8</x:v>
      </x:c>
      <x:c r="B58" s="111" t="str">
        <x:v>COLETA REVERSA (1ª TENTATIVA)</x:v>
      </x:c>
      <x:c r="C58" s="51" t="str">
        <x:v>SERVIÇOS DE COLETA</x:v>
      </x:c>
    </x:row>
    <x:row r="59">
      <x:c r="A59" s="50" t="str">
        <x:v>7799-2</x:v>
      </x:c>
      <x:c r="B59" s="111" t="str">
        <x:v>COLETA REVERSA (2ª TENTATIVA)</x:v>
      </x:c>
      <x:c r="C59" s="51" t="str">
        <x:v>SERVIÇOS DE COLETA</x:v>
      </x:c>
    </x:row>
    <x:row r="60">
      <x:c r="A60" s="50" t="str">
        <x:v>7876-0</x:v>
      </x:c>
      <x:c r="B60" s="111" t="str">
        <x:v>COLETA PROGRAMADA SEDEX Hoje</x:v>
      </x:c>
      <x:c r="C60" s="51" t="str">
        <x:v>SERVIÇOS DE COLETA</x:v>
      </x:c>
    </x:row>
    <x:row r="61">
      <x:c r="A61" s="50" t="str">
        <x:v>0314-0</x:v>
      </x:c>
      <x:c r="B61" s="111" t="str">
        <x:v>SEDEX 12 CONTRATO AG</x:v>
      </x:c>
      <x:c r="C61" s="51" t="str">
        <x:v>SERVIÇOS DA POLÍTICA COMERCIAL 2020</x:v>
      </x:c>
    </x:row>
    <x:row r="62">
      <x:c r="A62" s="50" t="str">
        <x:v>0315-8</x:v>
      </x:c>
      <x:c r="B62" s="111" t="str">
        <x:v>SEDEX 10 CONTRATO AG</x:v>
      </x:c>
      <x:c r="C62" s="51" t="str">
        <x:v>SERVIÇOS DA POLÍTICA COMERCIAL 2020</x:v>
      </x:c>
    </x:row>
    <x:row r="63">
      <x:c r="A63" s="50" t="str">
        <x:v>0317-4</x:v>
      </x:c>
      <x:c r="B63" s="111" t="str">
        <x:v>SEDEX 12 REVERSO</x:v>
      </x:c>
      <x:c r="C63" s="51" t="str">
        <x:v>SERVIÇOS DA POLÍTICA COMERCIAL 2020</x:v>
      </x:c>
    </x:row>
    <x:row r="64">
      <x:c r="A64" s="50" t="str">
        <x:v>0318-2</x:v>
      </x:c>
      <x:c r="B64" s="111" t="str">
        <x:v>SEDEX 10 REVERSO</x:v>
      </x:c>
      <x:c r="C64" s="51" t="str">
        <x:v>SERVIÇOS DA POLÍTICA COMERCIAL 2020</x:v>
      </x:c>
    </x:row>
    <x:row r="65">
      <x:c r="A65" s="50" t="str">
        <x:v>0319-0</x:v>
      </x:c>
      <x:c r="B65" s="111" t="str">
        <x:v>SEDEX HOJE REVERSO</x:v>
      </x:c>
      <x:c r="C65" s="51" t="str">
        <x:v>SERVIÇOS DA POLÍTICA COMERCIAL 2020</x:v>
      </x:c>
    </x:row>
    <x:row r="66">
      <x:c r="A66" s="50" t="str">
        <x:v>0320-4</x:v>
      </x:c>
      <x:c r="B66" s="111" t="str">
        <x:v>SEDEX HOJE CONTRATO AG</x:v>
      </x:c>
      <x:c r="C66" s="51" t="str">
        <x:v>SERVIÇOS DA POLÍTICA COMERCIAL 2020</x:v>
      </x:c>
    </x:row>
    <x:row r="67">
      <x:c r="A67" s="50" t="str">
        <x:v>0321-2</x:v>
      </x:c>
      <x:c r="B67" s="111" t="str">
        <x:v>SEDEX CONTRATO GRANDES FORMATOS</x:v>
      </x:c>
      <x:c r="C67" s="51" t="str">
        <x:v>SERVIÇOS DA POLÍTICA COMERCIAL 2020</x:v>
      </x:c>
    </x:row>
    <x:row r="68">
      <x:c r="A68" s="50" t="str">
        <x:v>0322-0</x:v>
      </x:c>
      <x:c r="B68" s="111" t="str">
        <x:v>SEDEX CONTRATO AG</x:v>
      </x:c>
      <x:c r="C68" s="51" t="str">
        <x:v>SERVIÇOS DA POLÍTICA COMERCIAL 2020</x:v>
      </x:c>
    </x:row>
    <x:row r="69">
      <x:c r="A69" s="50" t="str">
        <x:v>0324-7</x:v>
      </x:c>
      <x:c r="B69" s="111" t="str">
        <x:v>SEDEX REVERSO</x:v>
      </x:c>
      <x:c r="C69" s="51" t="str">
        <x:v>SERVIÇOS DA POLÍTICA COMERCIAL 2020</x:v>
      </x:c>
    </x:row>
    <x:row r="70">
      <x:c r="A70" s="50" t="str">
        <x:v>0327-1</x:v>
      </x:c>
      <x:c r="B70" s="111" t="str">
        <x:v>SEDEX CONTRATO PAGAMENTO ENTREGA</x:v>
      </x:c>
      <x:c r="C70" s="51" t="str">
        <x:v>SERVIÇOS DA POLÍTICA COMERCIAL 2020</x:v>
      </x:c>
    </x:row>
    <x:row r="71">
      <x:c r="A71" s="50" t="str">
        <x:v>0328-0</x:v>
      </x:c>
      <x:c r="B71" s="111" t="str">
        <x:v>SEDEX CONTRATO (POSTAGEM INDUSTRIAL)</x:v>
      </x:c>
      <x:c r="C71" s="51" t="str">
        <x:v>SERVIÇOS DA POLÍTICA COMERCIAL 2020</x:v>
      </x:c>
    </x:row>
    <x:row r="72">
      <x:c r="A72" s="50" t="str">
        <x:v>0329-8</x:v>
      </x:c>
      <x:c r="B72" s="111" t="str">
        <x:v>PAC CONTRATO AG</x:v>
      </x:c>
      <x:c r="C72" s="51" t="str">
        <x:v>SERVIÇOS DA POLÍTICA COMERCIAL 2020</x:v>
      </x:c>
    </x:row>
    <x:row r="73">
      <x:c r="A73" s="50" t="str">
        <x:v>0330-1</x:v>
      </x:c>
      <x:c r="B73" s="111" t="str">
        <x:v>PAC REVERSO</x:v>
      </x:c>
      <x:c r="C73" s="51" t="str">
        <x:v>SERVIÇOS DA POLÍTICA COMERCIAL 2020</x:v>
      </x:c>
    </x:row>
    <x:row r="74">
      <x:c r="A74" s="50" t="str">
        <x:v>0331-0</x:v>
      </x:c>
      <x:c r="B74" s="111" t="str">
        <x:v>PAC CONTRATO PAGAMENTO ENTREGA</x:v>
      </x:c>
      <x:c r="C74" s="51" t="str">
        <x:v>SERVIÇOS DA POLÍTICA COMERCIAL 2020</x:v>
      </x:c>
    </x:row>
    <x:row r="75">
      <x:c r="A75" s="50" t="str">
        <x:v>0332-8</x:v>
      </x:c>
      <x:c r="B75" s="111" t="str">
        <x:v>PAC CONTRATO GRANDES FORMATOS</x:v>
      </x:c>
      <x:c r="C75" s="51" t="str">
        <x:v>SERVIÇOS DA POLÍTICA COMERCIAL 2020</x:v>
      </x:c>
    </x:row>
    <x:row r="76">
      <x:c r="A76" s="50" t="str">
        <x:v>0333-6</x:v>
      </x:c>
      <x:c r="B76" s="111" t="str">
        <x:v>PAC CONTRATO (POSTAGEM INDUSTRIAL)</x:v>
      </x:c>
      <x:c r="C76" s="51" t="str">
        <x:v>SERVIÇOS DA POLÍTICA COMERCIAL 2020</x:v>
      </x:c>
    </x:row>
    <x:row r="77">
      <x:c r="A77" s="50" t="str">
        <x:v>0335-2</x:v>
      </x:c>
      <x:c r="B77" s="111" t="str">
        <x:v>SEDEX KIT (REFERÊNCIA BRONZE 1)</x:v>
      </x:c>
      <x:c r="C77" s="51" t="str">
        <x:v>SERVIÇOS DA POLÍTICA COMERCIAL 2020</x:v>
      </x:c>
    </x:row>
    <x:row r="78">
      <x:c r="A78" s="50" t="str">
        <x:v>0366-2</x:v>
      </x:c>
      <x:c r="B78" s="111" t="str">
        <x:v>SEDEX HOJE A FATURAR - EMPRESARIAL</x:v>
      </x:c>
      <x:c r="C78" s="51" t="str">
        <x:v>SERVIÇOS DA POLÍTICA COMERCIAL 2020</x:v>
      </x:c>
    </x:row>
    <x:row r="79">
      <x:c r="A79" s="50" t="str">
        <x:v>0385-9</x:v>
      </x:c>
      <x:c r="B79" s="111" t="str">
        <x:v>SEDEX 12 CONTRATO AG RFID</x:v>
      </x:c>
      <x:c r="C79" s="51" t="str">
        <x:v>SERVIÇOS PARA ETIQUETAS RFID</x:v>
      </x:c>
    </x:row>
    <x:row r="80">
      <x:c r="A80" s="50" t="str">
        <x:v>0386-7</x:v>
      </x:c>
      <x:c r="B80" s="111" t="str">
        <x:v>SEDEX 10 CONTRATO AG RFID</x:v>
      </x:c>
      <x:c r="C80" s="51" t="str">
        <x:v>SERVIÇOS PARA ETIQUETAS RFID</x:v>
      </x:c>
    </x:row>
    <x:row r="81">
      <x:c r="A81" s="50" t="str">
        <x:v>0387-5</x:v>
      </x:c>
      <x:c r="B81" s="111" t="str">
        <x:v>SEDEX HOJE CONTRATO AG RFID</x:v>
      </x:c>
      <x:c r="C81" s="51" t="str">
        <x:v>SERVIÇOS PARA ETIQUETAS RFID</x:v>
      </x:c>
    </x:row>
    <x:row r="82">
      <x:c r="A82" s="50" t="str">
        <x:v>0388-3</x:v>
      </x:c>
      <x:c r="B82" s="111" t="str">
        <x:v>SEDEX CONTRATO GRANDES FORMATOS RFID</x:v>
      </x:c>
      <x:c r="C82" s="51" t="str">
        <x:v>SERVIÇOS PARA ETIQUETAS RFID</x:v>
      </x:c>
    </x:row>
    <x:row r="83">
      <x:c r="A83" s="50" t="str">
        <x:v>0389-1</x:v>
      </x:c>
      <x:c r="B83" s="111" t="str">
        <x:v>SEDEX CONTRATO AG RFID</x:v>
      </x:c>
      <x:c r="C83" s="51" t="str">
        <x:v>SERVIÇOS PARA ETIQUETAS RFID</x:v>
      </x:c>
    </x:row>
    <x:row r="84">
      <x:c r="A84" s="50" t="str">
        <x:v>0390-5</x:v>
      </x:c>
      <x:c r="B84" s="111" t="str">
        <x:v>SEDEX CONTRATO PAGAMENTO NA ENTREGA RFID</x:v>
      </x:c>
      <x:c r="C84" s="51" t="str">
        <x:v>SERVIÇOS PARA ETIQUETAS RFID</x:v>
      </x:c>
    </x:row>
    <x:row r="85">
      <x:c r="A85" s="50" t="str">
        <x:v>0391-3</x:v>
      </x:c>
      <x:c r="B85" s="111" t="str">
        <x:v>SEDEX CONTRATO RFID (POSTAGEM INDUSTRIAL)</x:v>
      </x:c>
      <x:c r="C85" s="51" t="str">
        <x:v>SERVIÇOS PARA ETIQUETAS RFID</x:v>
      </x:c>
    </x:row>
    <x:row r="86">
      <x:c r="A86" s="50" t="str">
        <x:v>0392-1</x:v>
      </x:c>
      <x:c r="B86" s="111" t="str">
        <x:v>PAC CONTRATO AG RFID</x:v>
      </x:c>
      <x:c r="C86" s="51" t="str">
        <x:v>SERVIÇOS PARA ETIQUETAS RFID</x:v>
      </x:c>
    </x:row>
    <x:row r="87">
      <x:c r="A87" s="50" t="str">
        <x:v>0393-0</x:v>
      </x:c>
      <x:c r="B87" s="111" t="str">
        <x:v>PAC CONTRATO PAGAMENTO NA ENTREGA RFID</x:v>
      </x:c>
      <x:c r="C87" s="51" t="str">
        <x:v>SERVIÇOS PARA ETIQUETAS RFID</x:v>
      </x:c>
    </x:row>
    <x:row r="88">
      <x:c r="A88" s="50" t="str">
        <x:v>0394-8</x:v>
      </x:c>
      <x:c r="B88" s="111" t="str">
        <x:v>PAC CONTRATO GRANDES FORMATOS RFID</x:v>
      </x:c>
      <x:c r="C88" s="51" t="str">
        <x:v>SERVIÇOS PARA ETIQUETAS RFID</x:v>
      </x:c>
    </x:row>
    <x:row r="89">
      <x:c r="A89" s="50" t="str">
        <x:v>0395-6</x:v>
      </x:c>
      <x:c r="B89" s="111" t="str">
        <x:v>PAC CONTRATO RFID (POSTAGEM INDUSTRIAL)</x:v>
      </x:c>
      <x:c r="C89" s="51" t="str">
        <x:v>SERVIÇOS PARA ETIQUETAS RFID</x:v>
      </x:c>
    </x:row>
    <x:row r="90">
      <x:c r="A90" s="50" t="str">
        <x:v>0304-2</x:v>
      </x:c>
      <x:c r="B90" s="111" t="str">
        <x:v>Sedex Contrato Grandes Formatos CC (2)</x:v>
      </x:c>
      <x:c r="C90" s="51" t="str">
        <x:v>SERVIÇOS PARA O PACOTE CLUBE CORREIOS (sob contrato, mas pagamento à vista)</x:v>
      </x:c>
    </x:row>
    <x:row r="91">
      <x:c r="A91" s="50" t="str">
        <x:v>0305-0</x:v>
      </x:c>
      <x:c r="B91" s="111" t="str">
        <x:v>Sedex Contrato Agência CC (2)</x:v>
      </x:c>
      <x:c r="C91" s="51" t="str">
        <x:v>SERVIÇOS PARA O PACOTE CLUBE CORREIOS (sob contrato, mas pagamento à vista)</x:v>
      </x:c>
    </x:row>
    <x:row r="92">
      <x:c r="A92" s="50" t="str">
        <x:v>0306-9</x:v>
      </x:c>
      <x:c r="B92" s="111" t="str">
        <x:v>Sedex Contrato Pagamento na Entrega CC (2)</x:v>
      </x:c>
      <x:c r="C92" s="51" t="str">
        <x:v>SERVIÇOS PARA O PACOTE CLUBE CORREIOS (sob contrato, mas pagamento à vista)</x:v>
      </x:c>
    </x:row>
    <x:row r="93">
      <x:c r="A93" s="50" t="str">
        <x:v>0307-7</x:v>
      </x:c>
      <x:c r="B93" s="111" t="str">
        <x:v>SEDEX Reverso TA (2)</x:v>
      </x:c>
      <x:c r="C93" s="51" t="str">
        <x:v>SERVIÇOS PARA O PACOTE CLUBE CORREIOS (sob contrato, mas pagamento à vista)</x:v>
      </x:c>
    </x:row>
    <x:row r="94">
      <x:c r="A94" s="50" t="str">
        <x:v>0308-5</x:v>
      </x:c>
      <x:c r="B94" s="111" t="str">
        <x:v>PAC Contrato Agência CC (2)</x:v>
      </x:c>
      <x:c r="C94" s="51" t="str">
        <x:v>SERVIÇOS PARA O PACOTE CLUBE CORREIOS (sob contrato, mas pagamento à vista)</x:v>
      </x:c>
    </x:row>
    <x:row r="95">
      <x:c r="A95" s="50" t="str">
        <x:v>0309-3</x:v>
      </x:c>
      <x:c r="B95" s="111" t="str">
        <x:v>PAC Contrato Agência Pagamento na Entrega CC (2)</x:v>
      </x:c>
      <x:c r="C95" s="51" t="str">
        <x:v>SERVIÇOS PARA O PACOTE CLUBE CORREIOS (sob contrato, mas pagamento à vista)</x:v>
      </x:c>
    </x:row>
    <x:row r="96">
      <x:c r="A96" s="50" t="str">
        <x:v>0310-7</x:v>
      </x:c>
      <x:c r="B96" s="111" t="str">
        <x:v>PAC Contrato Grandes Formatos CC (2)</x:v>
      </x:c>
      <x:c r="C96" s="51" t="str">
        <x:v>SERVIÇOS PARA O PACOTE CLUBE CORREIOS (sob contrato, mas pagamento à vista)</x:v>
      </x:c>
    </x:row>
    <x:row r="97">
      <x:c r="A97" s="50" t="str">
        <x:v>0311-5</x:v>
      </x:c>
      <x:c r="B97" s="111" t="str">
        <x:v>PAC Reverso TA (2)</x:v>
      </x:c>
      <x:c r="C97" s="51" t="str">
        <x:v>SERVIÇOS PARA O PACOTE CLUBE CORREIOS (sob contrato, mas pagamento à vista)</x:v>
      </x:c>
    </x:row>
    <x:row r="98">
      <x:c r="A98" s="50" t="str">
        <x:v>0474-0</x:v>
      </x:c>
      <x:c r="B98" s="111" t="str">
        <x:v>SEDEX 10 CC</x:v>
      </x:c>
      <x:c r="C98" s="51" t="str">
        <x:v>SERVIÇOS PARA O PACOTE CLUBE CORREIOS (sob contrato, mas pagamento à vista)</x:v>
      </x:c>
    </x:row>
    <x:row r="99">
      <x:c r="A99" s="50" t="str">
        <x:v>0569-1</x:v>
      </x:c>
      <x:c r="B99" s="111" t="str">
        <x:v>SEDEX 12 CC</x:v>
      </x:c>
      <x:c r="C99" s="51" t="str">
        <x:v>SERVIÇOS PARA O PACOTE CLUBE CORREIOS (sob contrato, mas pagamento à vista)</x:v>
      </x:c>
    </x:row>
    <x:row r="100">
      <x:c r="A100" s="50" t="str">
        <x:v>0570-3</x:v>
      </x:c>
      <x:c r="B100" s="111" t="str">
        <x:v>SEDEX HOJE CC</x:v>
      </x:c>
      <x:c r="C100" s="51" t="str">
        <x:v>SERVIÇOS PARA O PACOTE CLUBE CORREIOS (sob contrato, mas pagamento à vista)</x:v>
      </x:c>
    </x:row>
    <x:row r="101">
      <x:c r="A101" s="50" t="str">
        <x:v>0339-5</x:v>
      </x:c>
      <x:c r="B101" s="111" t="str">
        <x:v>PAC APP AG A VISTA</x:v>
      </x:c>
      <x:c r="C101" s="51" t="str">
        <x:v>SERVIÇOS PARA O APP CORREIOS</x:v>
      </x:c>
    </x:row>
    <x:row r="102">
      <x:c r="A102" s="50" t="str">
        <x:v>4195-5</x:v>
      </x:c>
      <x:c r="B102" s="111" t="str">
        <x:v>SEDEX APP AG A VISTA</x:v>
      </x:c>
      <x:c r="C102" s="51" t="str">
        <x:v>SERVIÇOS PARA O APP CORREIOS</x:v>
      </x:c>
    </x:row>
    <x:row r="103">
      <x:c r="A103" s="50" t="str">
        <x:v>0400-0</x:v>
      </x:c>
      <x:c r="B103" s="111" t="str">
        <x:v>PAC PC CONTRATO AG</x:v>
      </x:c>
      <x:c r="C103" s="51" t="str">
        <x:v>SERVIÇOS PARA O PONTO DE COLETA (PC)</x:v>
      </x:c>
    </x:row>
    <x:row r="104">
      <x:c r="A104" s="50" t="str">
        <x:v>0409-0</x:v>
      </x:c>
      <x:c r="B104" s="111" t="str">
        <x:v>SEDEX PC CONTRATO AG</x:v>
      </x:c>
      <x:c r="C104" s="51" t="str">
        <x:v>SERVIÇOS PARA O PONTO DE COLETA (PC)</x:v>
      </x:c>
    </x:row>
    <x:row r="105">
      <x:c r="A105" s="50" t="str">
        <x:v>0676-9</x:v>
      </x:c>
      <x:c r="B105" s="111" t="str">
        <x:v>PAC PEN MARCA</x:v>
      </x:c>
      <x:c r="C105" s="51" t="str">
        <x:v>SERVIÇOS PARA PENALIDADE POR USO INDEVIDO DA MARCA</x:v>
      </x:c>
    </x:row>
    <x:row r="106">
      <x:c r="A106" s="50" t="str">
        <x:v>0675-0</x:v>
      </x:c>
      <x:c r="B106" s="111" t="str">
        <x:v>SEDEX PEN MARCA</x:v>
      </x:c>
      <x:c r="C106" s="51" t="str">
        <x:v>SERVIÇOS PARA PENALIDADE POR USO INDEVIDO DA MARCA</x:v>
      </x:c>
    </x:row>
    <x:row r="107">
      <x:c r="A107" s="52"/>
      <x:c r="B107" s="112"/>
      <x:c r="C107" s="5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53f0e6b25c457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22" hidden="0" customWidth="1"/>
    <x:col min="7" max="7" width="22" hidden="0" customWidth="1"/>
    <x:col min="8" max="8" width="36" hidden="0" customWidth="1"/>
  </x:cols>
  <x:sheetData>
    <x:row r="1" ht="30" customHeight="1">
      <x:c r="A1" s="5" t="str">
        <x:v>MAPEAMENTO DO CSV DE POSTAGENS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Define quais colunas do arquivo do cliente alimentarão o cálculo.</x:v>
      </x:c>
      <x:c r="B2" s="12"/>
      <x:c r="C2" s="12"/>
      <x:c r="D2" s="12"/>
      <x:c r="E2" s="12"/>
      <x:c r="F2" s="12"/>
      <x:c r="G2" s="12"/>
      <x:c r="H2" s="12"/>
    </x:row>
    <x:row r="4" ht="30" customHeight="1">
      <x:c r="A4" s="24" t="str">
        <x:v>COLUNA_CSV</x:v>
      </x:c>
      <x:c r="B4" s="99" t="str">
        <x:v>CAMPO_INTERNO</x:v>
      </x:c>
      <x:c r="C4" s="99" t="str">
        <x:v>OBRIGATORIO</x:v>
      </x:c>
      <x:c r="D4" s="99" t="str">
        <x:v>TIPO</x:v>
      </x:c>
      <x:c r="E4" s="99" t="str">
        <x:v>REGRA</x:v>
      </x:c>
      <x:c r="F4" s="99" t="str">
        <x:v>EXEMPLO</x:v>
      </x:c>
      <x:c r="G4" s="99" t="str">
        <x:v>STATUS</x:v>
      </x:c>
      <x:c r="H4" s="25" t="str">
        <x:v>OBSERVACAO</x:v>
      </x:c>
    </x:row>
    <x:row r="5">
      <x:c r="A5" s="48" t="str">
        <x:v>OBJETO</x:v>
      </x:c>
      <x:c r="B5" s="110" t="str">
        <x:v>objeto</x:v>
      </x:c>
      <x:c r="C5" s="110" t="str">
        <x:v>NÃO</x:v>
      </x:c>
      <x:c r="D5" s="110" t="str">
        <x:v>TEXTO</x:v>
      </x:c>
      <x:c r="E5" s="110" t="str">
        <x:v>Manter como identificador</x:v>
      </x:c>
      <x:c r="F5" s="110" t="str"/>
      <x:c r="G5" s="110" t="str">
        <x:v>ATIVO</x:v>
      </x:c>
      <x:c r="H5" s="49" t="str"/>
    </x:row>
    <x:row r="6">
      <x:c r="A6" s="50" t="str">
        <x:v>SERVICO</x:v>
      </x:c>
      <x:c r="B6" s="111" t="str">
        <x:v>servico_original</x:v>
      </x:c>
      <x:c r="C6" s="111" t="str">
        <x:v>SIM</x:v>
      </x:c>
      <x:c r="D6" s="111" t="str">
        <x:v>TEXTO</x:v>
      </x:c>
      <x:c r="E6" s="111" t="str">
        <x:v>Normalizar PAC/SEDEX/MINI</x:v>
      </x:c>
      <x:c r="F6" s="111" t="str">
        <x:v>SEDEX</x:v>
      </x:c>
      <x:c r="G6" s="111" t="str">
        <x:v>ATIVO</x:v>
      </x:c>
      <x:c r="H6" s="51" t="str"/>
    </x:row>
    <x:row r="7">
      <x:c r="A7" s="50" t="str">
        <x:v>PESO</x:v>
      </x:c>
      <x:c r="B7" s="111" t="str">
        <x:v>peso_real_g</x:v>
      </x:c>
      <x:c r="C7" s="111" t="str">
        <x:v>SIM</x:v>
      </x:c>
      <x:c r="D7" s="111" t="str">
        <x:v>NÚMERO</x:v>
      </x:c>
      <x:c r="E7" s="111" t="str">
        <x:v>Peso em gramas</x:v>
      </x:c>
      <x:c r="F7" s="111" t="str">
        <x:v>560</x:v>
      </x:c>
      <x:c r="G7" s="111" t="str">
        <x:v>ATIVO</x:v>
      </x:c>
      <x:c r="H7" s="51" t="str"/>
    </x:row>
    <x:row r="8">
      <x:c r="A8" s="50" t="str">
        <x:v>POSTAGEM</x:v>
      </x:c>
      <x:c r="B8" s="111" t="str">
        <x:v>data_postagem</x:v>
      </x:c>
      <x:c r="C8" s="111" t="str">
        <x:v>NÃO</x:v>
      </x:c>
      <x:c r="D8" s="111" t="str">
        <x:v>DATA</x:v>
      </x:c>
      <x:c r="E8" s="111" t="str">
        <x:v>dd/mm/aaaa</x:v>
      </x:c>
      <x:c r="F8" s="111" t="str">
        <x:v>28/08/2026</x:v>
      </x:c>
      <x:c r="G8" s="111" t="str">
        <x:v>ATIVO</x:v>
      </x:c>
      <x:c r="H8" s="51" t="str"/>
    </x:row>
    <x:row r="9">
      <x:c r="A9" s="50" t="str">
        <x:v>VALOR</x:v>
      </x:c>
      <x:c r="B9" s="111" t="str">
        <x:v>valor_pago</x:v>
      </x:c>
      <x:c r="C9" s="111" t="str">
        <x:v>SIM</x:v>
      </x:c>
      <x:c r="D9" s="111" t="str">
        <x:v>MOEDA</x:v>
      </x:c>
      <x:c r="E9" s="111" t="str">
        <x:v>Vírgula decimal</x:v>
      </x:c>
      <x:c r="F9" s="111" t="str">
        <x:v>34,00</x:v>
      </x:c>
      <x:c r="G9" s="111" t="str">
        <x:v>ATIVO</x:v>
      </x:c>
      <x:c r="H9" s="51" t="str"/>
    </x:row>
    <x:row r="10">
      <x:c r="A10" s="50" t="str">
        <x:v>DECLARADO</x:v>
      </x:c>
      <x:c r="B10" s="111" t="str">
        <x:v>valor_declarado</x:v>
      </x:c>
      <x:c r="C10" s="111" t="str">
        <x:v>NÃO</x:v>
      </x:c>
      <x:c r="D10" s="111" t="str">
        <x:v>MOEDA</x:v>
      </x:c>
      <x:c r="E10" s="111" t="str">
        <x:v>Aplicar ad valorem quando maior que zero</x:v>
      </x:c>
      <x:c r="F10" s="111" t="str">
        <x:v>0,00</x:v>
      </x:c>
      <x:c r="G10" s="111" t="str">
        <x:v>ATIVO</x:v>
      </x:c>
      <x:c r="H10" s="51" t="str"/>
    </x:row>
    <x:row r="11">
      <x:c r="A11" s="50" t="str">
        <x:v>ADICIONAIS</x:v>
      </x:c>
      <x:c r="B11" s="111" t="str">
        <x:v>adicionais_texto</x:v>
      </x:c>
      <x:c r="C11" s="111" t="str">
        <x:v>NÃO</x:v>
      </x:c>
      <x:c r="D11" s="111" t="str">
        <x:v>TEXTO</x:v>
      </x:c>
      <x:c r="E11" s="111" t="str">
        <x:v>Interpretar AR/MP/outros quando possível</x:v>
      </x:c>
      <x:c r="F11" s="111" t="str"/>
      <x:c r="G11" s="111" t="str">
        <x:v>ATIVO</x:v>
      </x:c>
      <x:c r="H11" s="51" t="str"/>
    </x:row>
    <x:row r="12">
      <x:c r="A12" s="50" t="str">
        <x:v>CEP</x:v>
      </x:c>
      <x:c r="B12" s="111" t="str">
        <x:v>cep_destino</x:v>
      </x:c>
      <x:c r="C12" s="111" t="str">
        <x:v>SIM</x:v>
      </x:c>
      <x:c r="D12" s="111" t="str">
        <x:v>CEP</x:v>
      </x:c>
      <x:c r="E12" s="111" t="str">
        <x:v>Somente 8 dígitos internamente</x:v>
      </x:c>
      <x:c r="F12" s="111" t="str">
        <x:v>59619-400</x:v>
      </x:c>
      <x:c r="G12" s="111" t="str">
        <x:v>ATIVO</x:v>
      </x:c>
      <x:c r="H12" s="51" t="str"/>
    </x:row>
    <x:row r="13">
      <x:c r="A13" s="50" t="str">
        <x:v>CIDADE</x:v>
      </x:c>
      <x:c r="B13" s="111" t="str">
        <x:v>cidade_destino</x:v>
      </x:c>
      <x:c r="C13" s="111" t="str">
        <x:v>SIM</x:v>
      </x:c>
      <x:c r="D13" s="111" t="str">
        <x:v>TEXTO</x:v>
      </x:c>
      <x:c r="E13" s="111" t="str">
        <x:v>Normalizar acentos e caixa</x:v>
      </x:c>
      <x:c r="F13" s="111" t="str">
        <x:v>MOSSORO</x:v>
      </x:c>
      <x:c r="G13" s="111" t="str">
        <x:v>ATIVO</x:v>
      </x:c>
      <x:c r="H13" s="51" t="str"/>
    </x:row>
    <x:row r="14">
      <x:c r="A14" s="50" t="str">
        <x:v>UF</x:v>
      </x:c>
      <x:c r="B14" s="111" t="str">
        <x:v>uf_destino</x:v>
      </x:c>
      <x:c r="C14" s="111" t="str">
        <x:v>SIM</x:v>
      </x:c>
      <x:c r="D14" s="111" t="str">
        <x:v>UF</x:v>
      </x:c>
      <x:c r="E14" s="111" t="str">
        <x:v>Duas letras</x:v>
      </x:c>
      <x:c r="F14" s="111" t="str">
        <x:v>RN</x:v>
      </x:c>
      <x:c r="G14" s="111" t="str">
        <x:v>ATIVO</x:v>
      </x:c>
      <x:c r="H14" s="51" t="str"/>
    </x:row>
    <x:row r="15">
      <x:c r="A15" s="50" t="str">
        <x:v>ALTURA</x:v>
      </x:c>
      <x:c r="B15" s="111" t="str">
        <x:v>altura_cm</x:v>
      </x:c>
      <x:c r="C15" s="111" t="str">
        <x:v>SIM</x:v>
      </x:c>
      <x:c r="D15" s="111" t="str">
        <x:v>NÚMERO</x:v>
      </x:c>
      <x:c r="E15" s="111" t="str">
        <x:v>Centímetros</x:v>
      </x:c>
      <x:c r="F15" s="111" t="str">
        <x:v>1</x:v>
      </x:c>
      <x:c r="G15" s="111" t="str">
        <x:v>ATIVO</x:v>
      </x:c>
      <x:c r="H15" s="51" t="str"/>
    </x:row>
    <x:row r="16">
      <x:c r="A16" s="50" t="str">
        <x:v>LARGURA</x:v>
      </x:c>
      <x:c r="B16" s="111" t="str">
        <x:v>largura_cm</x:v>
      </x:c>
      <x:c r="C16" s="111" t="str">
        <x:v>SIM</x:v>
      </x:c>
      <x:c r="D16" s="111" t="str">
        <x:v>NÚMERO</x:v>
      </x:c>
      <x:c r="E16" s="111" t="str">
        <x:v>Centímetros</x:v>
      </x:c>
      <x:c r="F16" s="111" t="str">
        <x:v>17</x:v>
      </x:c>
      <x:c r="G16" s="111" t="str">
        <x:v>ATIVO</x:v>
      </x:c>
      <x:c r="H16" s="51" t="str"/>
    </x:row>
    <x:row r="17">
      <x:c r="A17" s="50" t="str">
        <x:v>COMPRIMENTO</x:v>
      </x:c>
      <x:c r="B17" s="111" t="str">
        <x:v>comprimento_cm</x:v>
      </x:c>
      <x:c r="C17" s="111" t="str">
        <x:v>SIM</x:v>
      </x:c>
      <x:c r="D17" s="111" t="str">
        <x:v>NÚMERO</x:v>
      </x:c>
      <x:c r="E17" s="111" t="str">
        <x:v>Centímetros</x:v>
      </x:c>
      <x:c r="F17" s="111" t="str">
        <x:v>27</x:v>
      </x:c>
      <x:c r="G17" s="111" t="str">
        <x:v>ATIVO</x:v>
      </x:c>
      <x:c r="H17" s="51" t="str"/>
    </x:row>
    <x:row r="18">
      <x:c r="A18" s="52" t="str">
        <x:v>CODIGO_ECT</x:v>
      </x:c>
      <x:c r="B18" s="112" t="str">
        <x:v>codigo_servico_original</x:v>
      </x:c>
      <x:c r="C18" s="112" t="str">
        <x:v>NÃO</x:v>
      </x:c>
      <x:c r="D18" s="112" t="str">
        <x:v>TEXTO</x:v>
      </x:c>
      <x:c r="E18" s="112" t="str">
        <x:v>Aceitar com ou sem hífen</x:v>
      </x:c>
      <x:c r="F18" s="112" t="str">
        <x:v>4014</x:v>
      </x:c>
      <x:c r="G18" s="112" t="str">
        <x:v>ATIVO</x:v>
      </x:c>
      <x:c r="H18" s="5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c65d78278a4d9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62" hidden="0" customWidth="1"/>
    <x:col min="7" max="7" width="22" hidden="0" customWidth="1"/>
    <x:col min="8" max="8" width="40" hidden="0" customWidth="1"/>
  </x:cols>
  <x:sheetData>
    <x:row r="1" ht="30" customHeight="1">
      <x:c r="A1" s="5" t="str">
        <x:v>FONTES E VERSIONAMENTO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Registre aqui cada substituição de tabela oficial.</x:v>
      </x:c>
      <x:c r="B2" s="12"/>
      <x:c r="C2" s="12"/>
      <x:c r="D2" s="12"/>
      <x:c r="E2" s="12"/>
      <x:c r="F2" s="12"/>
      <x:c r="G2" s="12"/>
      <x:c r="H2" s="12"/>
    </x:row>
    <x:row r="4" ht="30" customHeight="1">
      <x:c r="A4" s="24" t="str">
        <x:v>ID</x:v>
      </x:c>
      <x:c r="B4" s="99" t="str">
        <x:v>ARQUIVO/FONTE</x:v>
      </x:c>
      <x:c r="C4" s="99" t="str">
        <x:v>ABA</x:v>
      </x:c>
      <x:c r="D4" s="99" t="str">
        <x:v>VIGENCIA</x:v>
      </x:c>
      <x:c r="E4" s="99" t="str">
        <x:v>USO</x:v>
      </x:c>
      <x:c r="F4" s="99" t="str">
        <x:v>URL/LOCAL</x:v>
      </x:c>
      <x:c r="G4" s="99" t="str">
        <x:v>STATUS</x:v>
      </x:c>
      <x:c r="H4" s="25" t="str">
        <x:v>OBSERVACAO</x:v>
      </x:c>
    </x:row>
    <x:row r="5">
      <x:c r="A5" s="48" t="str">
        <x:v>F001</x:v>
      </x:c>
      <x:c r="B5" s="110" t="str">
        <x:v>PAC À VISTA_04510_2026</x:v>
      </x:c>
      <x:c r="C5" s="110" t="str">
        <x:v>CE</x:v>
      </x:c>
      <x:c r="D5" s="211" t="n">
        <x:v>46124</x:v>
      </x:c>
      <x:c r="E5" s="110" t="str">
        <x:v>PAC_AVISTA</x:v>
      </x:c>
      <x:c r="F5" s="110" t="str">
        <x:v>https://docs.google.com/spreadsheets/d/1aDHRxpgZPd7lkag6SEzTZzX6ZJ-Hhx6lSWa31mIfAQ4/edit</x:v>
      </x:c>
      <x:c r="G5" s="110" t="str">
        <x:v>ATIVO</x:v>
      </x:c>
      <x:c r="H5" s="49" t="str">
        <x:v>Origem Ceará.</x:v>
      </x:c>
    </x:row>
    <x:row r="6">
      <x:c r="A6" s="50" t="str">
        <x:v>F002</x:v>
      </x:c>
      <x:c r="B6" s="111" t="str">
        <x:v>SEDEX À VISTA_04014_2026.xlsm</x:v>
      </x:c>
      <x:c r="C6" s="111" t="str">
        <x:v>CE</x:v>
      </x:c>
      <x:c r="D6" s="212" t="n">
        <x:v>46124</x:v>
      </x:c>
      <x:c r="E6" s="111" t="str">
        <x:v>SEDEX_AVISTA</x:v>
      </x:c>
      <x:c r="F6" s="111" t="str">
        <x:v>Pasta Google Drive informada pela usuária</x:v>
      </x:c>
      <x:c r="G6" s="111" t="str">
        <x:v>ATIVO</x:v>
      </x:c>
      <x:c r="H6" s="51" t="str"/>
    </x:row>
    <x:row r="7">
      <x:c r="A7" s="50" t="str">
        <x:v>F003</x:v>
      </x:c>
      <x:c r="B7" s="111" t="str">
        <x:v>Tarifas_Enc_APP_2026.xlsx</x:v>
      </x:c>
      <x:c r="C7" s="111" t="str">
        <x:v>PAC_APP-PROMOCIONAL</x:v>
      </x:c>
      <x:c r="D7" s="212" t="n">
        <x:v>46124</x:v>
      </x:c>
      <x:c r="E7" s="111" t="str">
        <x:v>PAC_APP</x:v>
      </x:c>
      <x:c r="F7" s="111" t="str">
        <x:v>Pasta Google Drive informada pela usuária</x:v>
      </x:c>
      <x:c r="G7" s="111" t="str">
        <x:v>ATIVO</x:v>
      </x:c>
      <x:c r="H7" s="51" t="str"/>
    </x:row>
    <x:row r="8">
      <x:c r="A8" s="50" t="str">
        <x:v>F004</x:v>
      </x:c>
      <x:c r="B8" s="111" t="str">
        <x:v>Tarifas_Enc_APP_2026.xlsx</x:v>
      </x:c>
      <x:c r="C8" s="111" t="str">
        <x:v>SEDEX_APP-PROMOCIONAL</x:v>
      </x:c>
      <x:c r="D8" s="212" t="n">
        <x:v>46124</x:v>
      </x:c>
      <x:c r="E8" s="111" t="str">
        <x:v>SEDEX_APP</x:v>
      </x:c>
      <x:c r="F8" s="111" t="str">
        <x:v>Pasta Google Drive informada pela usuária</x:v>
      </x:c>
      <x:c r="G8" s="111" t="str">
        <x:v>ATIVO</x:v>
      </x:c>
      <x:c r="H8" s="51" t="str"/>
    </x:row>
    <x:row r="9">
      <x:c r="A9" s="50" t="str">
        <x:v>F005</x:v>
      </x:c>
      <x:c r="B9" s="111" t="str">
        <x:v>Tarifas_Encomendas_Platinum_Clube_2026.xlsx</x:v>
      </x:c>
      <x:c r="C9" s="111" t="str">
        <x:v>PAC</x:v>
      </x:c>
      <x:c r="D9" s="212" t="n">
        <x:v>46124</x:v>
      </x:c>
      <x:c r="E9" s="111" t="str">
        <x:v>PAC_PLATINUM</x:v>
      </x:c>
      <x:c r="F9" s="111" t="str">
        <x:v>Pasta Google Drive informada pela usuária</x:v>
      </x:c>
      <x:c r="G9" s="111" t="str">
        <x:v>ATIVO</x:v>
      </x:c>
      <x:c r="H9" s="51" t="str"/>
    </x:row>
    <x:row r="10">
      <x:c r="A10" s="50" t="str">
        <x:v>F006</x:v>
      </x:c>
      <x:c r="B10" s="111" t="str">
        <x:v>Tarifas_Encomendas_Platinum_Clube_2026.xlsx</x:v>
      </x:c>
      <x:c r="C10" s="111" t="str">
        <x:v>SEDEX</x:v>
      </x:c>
      <x:c r="D10" s="212" t="n">
        <x:v>46124</x:v>
      </x:c>
      <x:c r="E10" s="111" t="str">
        <x:v>SEDEX_PLATINUM</x:v>
      </x:c>
      <x:c r="F10" s="111" t="str">
        <x:v>Pasta Google Drive informada pela usuária</x:v>
      </x:c>
      <x:c r="G10" s="111" t="str">
        <x:v>ATIVO</x:v>
      </x:c>
      <x:c r="H10" s="51" t="str"/>
    </x:row>
    <x:row r="11">
      <x:c r="A11" s="50" t="str">
        <x:v>F007</x:v>
      </x:c>
      <x:c r="B11" s="111" t="str">
        <x:v>Tarifas_Encomendas_Platinum_Clube_2026.xlsx</x:v>
      </x:c>
      <x:c r="C11" s="111" t="str">
        <x:v>MINI ENVIOS</x:v>
      </x:c>
      <x:c r="D11" s="212" t="n">
        <x:v>46124</x:v>
      </x:c>
      <x:c r="E11" s="111" t="str">
        <x:v>MINI_PLATINUM</x:v>
      </x:c>
      <x:c r="F11" s="111" t="str">
        <x:v>Pasta Google Drive informada pela usuária</x:v>
      </x:c>
      <x:c r="G11" s="111" t="str">
        <x:v>ATIVO</x:v>
      </x:c>
      <x:c r="H11" s="51" t="str"/>
    </x:row>
    <x:row r="12">
      <x:c r="A12" s="50" t="str">
        <x:v>F008</x:v>
      </x:c>
      <x:c r="B12" s="111" t="str">
        <x:v>Classificação_das_Cidades-31.01.23.xlsx</x:v>
      </x:c>
      <x:c r="C12" s="111" t="str">
        <x:v>Cidades Prioritárias</x:v>
      </x:c>
      <x:c r="D12" s="212" t="n">
        <x:v>44957</x:v>
      </x:c>
      <x:c r="E12" s="111" t="str">
        <x:v>CLASSIFICACAO_CIDADES</x:v>
      </x:c>
      <x:c r="F12" s="111" t="str">
        <x:v>Arquivo enviado</x:v>
      </x:c>
      <x:c r="G12" s="111" t="str">
        <x:v>PROVISÓRIO</x:v>
      </x:c>
      <x:c r="H12" s="51" t="str">
        <x:v>Atualizar quando houver nova edição.</x:v>
      </x:c>
    </x:row>
    <x:row r="13">
      <x:c r="A13" s="50" t="str">
        <x:v>F009</x:v>
      </x:c>
      <x:c r="B13" s="111" t="str">
        <x:v>TABELA PLATINUM - FORTALEZA E + 2026.xlsx</x:v>
      </x:c>
      <x:c r="C13" s="111" t="str">
        <x:v>Plan1</x:v>
      </x:c>
      <x:c r="D13" s="212" t="n">
        <x:v>46124</x:v>
      </x:c>
      <x:c r="E13" s="111" t="str">
        <x:v>MAPA_TRECHOS_CE</x:v>
      </x:c>
      <x:c r="F13" s="111" t="str">
        <x:v>Arquivo enviado</x:v>
      </x:c>
      <x:c r="G13" s="111" t="str">
        <x:v>ATIVO</x:v>
      </x:c>
      <x:c r="H13" s="51" t="str">
        <x:v>Fonte específica de origem Ceará.</x:v>
      </x:c>
    </x:row>
    <x:row r="14">
      <x:c r="A14" s="52" t="str">
        <x:v>F010</x:v>
      </x:c>
      <x:c r="B14" s="112" t="str">
        <x:v>CÓDIGOS SERVIÇOS atualizados 2026.xlsx</x:v>
      </x:c>
      <x:c r="C14" s="112" t="str">
        <x:v>Encomendas</x:v>
      </x:c>
      <x:c r="D14" s="213" t="n">
        <x:v>46124</x:v>
      </x:c>
      <x:c r="E14" s="112" t="str">
        <x:v>CODIGOS_SERVICOS</x:v>
      </x:c>
      <x:c r="F14" s="112" t="str">
        <x:v>Arquivo enviado</x:v>
      </x:c>
      <x:c r="G14" s="112" t="str">
        <x:v>ATIVO</x:v>
      </x:c>
      <x:c r="H14" s="5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86c694121e4ee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0" customHeight="1">
      <x:c r="A1" s="5" t="str">
        <x:v>CASOS DE TESTE E HOMOLOGAÇÃO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2" customHeight="1">
      <x:c r="A2" s="12" t="str">
        <x:v>Amostras reais do CSV para validar o futuro motor de cálculo.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 ht="30" customHeight="1">
      <x:c r="A4" s="24" t="str">
        <x:v>OBJETO</x:v>
      </x:c>
      <x:c r="B4" s="99" t="str">
        <x:v>SERVICO</x:v>
      </x:c>
      <x:c r="C4" s="99" t="str">
        <x:v>PESO</x:v>
      </x:c>
      <x:c r="D4" s="99" t="str">
        <x:v>POSTAGEM</x:v>
      </x:c>
      <x:c r="E4" s="99" t="str">
        <x:v>VALOR</x:v>
      </x:c>
      <x:c r="F4" s="99" t="str">
        <x:v>DECLARADO</x:v>
      </x:c>
      <x:c r="G4" s="99" t="str">
        <x:v>ADICIONAIS</x:v>
      </x:c>
      <x:c r="H4" s="99" t="str">
        <x:v>CEP</x:v>
      </x:c>
      <x:c r="I4" s="99" t="str">
        <x:v>CIDADE</x:v>
      </x:c>
      <x:c r="J4" s="99" t="str">
        <x:v>UF</x:v>
      </x:c>
      <x:c r="K4" s="99" t="str">
        <x:v>ALTURA</x:v>
      </x:c>
      <x:c r="L4" s="99" t="str">
        <x:v>LARGURA</x:v>
      </x:c>
      <x:c r="M4" s="99" t="str">
        <x:v>COMPRIMENTO</x:v>
      </x:c>
      <x:c r="N4" s="99" t="str">
        <x:v>CODIGO_ECT</x:v>
      </x:c>
      <x:c r="O4" s="99" t="str">
        <x:v>TABELA_ESPERADA</x:v>
      </x:c>
      <x:c r="P4" s="99" t="str">
        <x:v>VALOR_ESPERADO</x:v>
      </x:c>
      <x:c r="Q4" s="99" t="str">
        <x:v>RESULTADO</x:v>
      </x:c>
      <x:c r="R4" s="25" t="str">
        <x:v>OBSERVACAO</x:v>
      </x:c>
    </x:row>
    <x:row r="5">
      <x:c r="A5" s="48" t="str">
        <x:v>OY855180706BR</x:v>
      </x:c>
      <x:c r="B5" s="110" t="str">
        <x:v>SEDEX</x:v>
      </x:c>
      <x:c r="C5" s="110" t="str">
        <x:v>560</x:v>
      </x:c>
      <x:c r="D5" s="110" t="str">
        <x:v>28/08/2026</x:v>
      </x:c>
      <x:c r="E5" s="110" t="str">
        <x:v>34,00</x:v>
      </x:c>
      <x:c r="F5" s="110" t="str">
        <x:v>0,00</x:v>
      </x:c>
      <x:c r="G5" s="110" t="str"/>
      <x:c r="H5" s="110" t="str">
        <x:v>59619-400</x:v>
      </x:c>
      <x:c r="I5" s="110" t="str">
        <x:v>MOSSORO</x:v>
      </x:c>
      <x:c r="J5" s="110" t="str">
        <x:v>RN</x:v>
      </x:c>
      <x:c r="K5" s="110" t="str">
        <x:v>1</x:v>
      </x:c>
      <x:c r="L5" s="110" t="str">
        <x:v>17</x:v>
      </x:c>
      <x:c r="M5" s="110" t="str">
        <x:v>27</x:v>
      </x:c>
      <x:c r="N5" s="110" t="str">
        <x:v>4014</x:v>
      </x:c>
      <x:c r="O5" s="110"/>
      <x:c r="P5" s="110"/>
      <x:c r="Q5" s="110" t="str">
        <x:v>PENDENTE</x:v>
      </x:c>
      <x:c r="R5" s="49" t="str">
        <x:v>Preencher após homologação do motor.</x:v>
      </x:c>
    </x:row>
    <x:row r="6">
      <x:c r="A6" s="50" t="str">
        <x:v>OY855180207BR</x:v>
      </x:c>
      <x:c r="B6" s="111" t="str">
        <x:v>SEDEX</x:v>
      </x:c>
      <x:c r="C6" s="111" t="str">
        <x:v>2460</x:v>
      </x:c>
      <x:c r="D6" s="111" t="str">
        <x:v>21/08/2026</x:v>
      </x:c>
      <x:c r="E6" s="111" t="str">
        <x:v>149,70</x:v>
      </x:c>
      <x:c r="F6" s="111" t="str">
        <x:v>0,00</x:v>
      </x:c>
      <x:c r="G6" s="111" t="str"/>
      <x:c r="H6" s="111" t="str">
        <x:v>09550-051</x:v>
      </x:c>
      <x:c r="I6" s="111" t="str">
        <x:v>SAO CAETANO DO SUL</x:v>
      </x:c>
      <x:c r="J6" s="111" t="str">
        <x:v>SP</x:v>
      </x:c>
      <x:c r="K6" s="111" t="str">
        <x:v>11</x:v>
      </x:c>
      <x:c r="L6" s="111" t="str">
        <x:v>20</x:v>
      </x:c>
      <x:c r="M6" s="111" t="str">
        <x:v>27</x:v>
      </x:c>
      <x:c r="N6" s="111" t="str">
        <x:v>4014</x:v>
      </x:c>
      <x:c r="O6" s="111"/>
      <x:c r="P6" s="111"/>
      <x:c r="Q6" s="111" t="str">
        <x:v>PENDENTE</x:v>
      </x:c>
      <x:c r="R6" s="51" t="str">
        <x:v>Preencher após homologação do motor.</x:v>
      </x:c>
    </x:row>
    <x:row r="7">
      <x:c r="A7" s="50" t="str">
        <x:v>OY855178415BR</x:v>
      </x:c>
      <x:c r="B7" s="111" t="str">
        <x:v>SEDEX</x:v>
      </x:c>
      <x:c r="C7" s="111" t="str">
        <x:v>40</x:v>
      </x:c>
      <x:c r="D7" s="111" t="str">
        <x:v>14/08/2026</x:v>
      </x:c>
      <x:c r="E7" s="111" t="str">
        <x:v>104,50</x:v>
      </x:c>
      <x:c r="F7" s="111" t="str">
        <x:v>0,00</x:v>
      </x:c>
      <x:c r="G7" s="111" t="str"/>
      <x:c r="H7" s="111" t="str">
        <x:v>35570-012</x:v>
      </x:c>
      <x:c r="I7" s="111" t="str">
        <x:v>FORMIGA</x:v>
      </x:c>
      <x:c r="J7" s="111" t="str">
        <x:v>MG</x:v>
      </x:c>
      <x:c r="K7" s="111" t="str">
        <x:v>1</x:v>
      </x:c>
      <x:c r="L7" s="111" t="str">
        <x:v>8</x:v>
      </x:c>
      <x:c r="M7" s="111" t="str">
        <x:v>16</x:v>
      </x:c>
      <x:c r="N7" s="111" t="str">
        <x:v>4014</x:v>
      </x:c>
      <x:c r="O7" s="111"/>
      <x:c r="P7" s="111"/>
      <x:c r="Q7" s="111" t="str">
        <x:v>PENDENTE</x:v>
      </x:c>
      <x:c r="R7" s="51" t="str">
        <x:v>Preencher após homologação do motor.</x:v>
      </x:c>
    </x:row>
    <x:row r="8">
      <x:c r="A8" s="50" t="str">
        <x:v>OY855177698BR</x:v>
      </x:c>
      <x:c r="B8" s="111" t="str">
        <x:v>SEDEX</x:v>
      </x:c>
      <x:c r="C8" s="111" t="str">
        <x:v>2440</x:v>
      </x:c>
      <x:c r="D8" s="111" t="str">
        <x:v>07/08/2026</x:v>
      </x:c>
      <x:c r="E8" s="111" t="str">
        <x:v>149,70</x:v>
      </x:c>
      <x:c r="F8" s="111" t="str">
        <x:v>0,00</x:v>
      </x:c>
      <x:c r="G8" s="111" t="str"/>
      <x:c r="H8" s="111" t="str">
        <x:v>18087-165</x:v>
      </x:c>
      <x:c r="I8" s="111" t="str">
        <x:v>SOROCABA</x:v>
      </x:c>
      <x:c r="J8" s="111" t="str">
        <x:v>SP</x:v>
      </x:c>
      <x:c r="K8" s="111" t="str">
        <x:v>12</x:v>
      </x:c>
      <x:c r="L8" s="111" t="str">
        <x:v>19</x:v>
      </x:c>
      <x:c r="M8" s="111" t="str">
        <x:v>27</x:v>
      </x:c>
      <x:c r="N8" s="111" t="str">
        <x:v>4014</x:v>
      </x:c>
      <x:c r="O8" s="111"/>
      <x:c r="P8" s="111"/>
      <x:c r="Q8" s="111" t="str">
        <x:v>PENDENTE</x:v>
      </x:c>
      <x:c r="R8" s="51" t="str">
        <x:v>Preencher após homologação do motor.</x:v>
      </x:c>
    </x:row>
    <x:row r="9">
      <x:c r="A9" s="50" t="str">
        <x:v>OY576488896BR</x:v>
      </x:c>
      <x:c r="B9" s="111" t="str">
        <x:v>SEDEX</x:v>
      </x:c>
      <x:c r="C9" s="111" t="str">
        <x:v>60</x:v>
      </x:c>
      <x:c r="D9" s="111" t="str">
        <x:v>28/07/2026</x:v>
      </x:c>
      <x:c r="E9" s="111" t="str">
        <x:v>107,00</x:v>
      </x:c>
      <x:c r="F9" s="111" t="str">
        <x:v>0,00</x:v>
      </x:c>
      <x:c r="G9" s="111" t="str"/>
      <x:c r="H9" s="111" t="str">
        <x:v>78030-445</x:v>
      </x:c>
      <x:c r="I9" s="111" t="str">
        <x:v>CUIABA</x:v>
      </x:c>
      <x:c r="J9" s="111" t="str">
        <x:v>MT</x:v>
      </x:c>
      <x:c r="K9" s="111" t="str">
        <x:v>1</x:v>
      </x:c>
      <x:c r="L9" s="111" t="str">
        <x:v>8</x:v>
      </x:c>
      <x:c r="M9" s="111" t="str">
        <x:v>16</x:v>
      </x:c>
      <x:c r="N9" s="111" t="str">
        <x:v>4014</x:v>
      </x:c>
      <x:c r="O9" s="111"/>
      <x:c r="P9" s="111"/>
      <x:c r="Q9" s="111" t="str">
        <x:v>PENDENTE</x:v>
      </x:c>
      <x:c r="R9" s="51" t="str">
        <x:v>Preencher após homologação do motor.</x:v>
      </x:c>
    </x:row>
    <x:row r="10">
      <x:c r="A10" s="52"/>
      <x:c r="B10" s="112"/>
      <x:c r="C10" s="112"/>
      <x:c r="D10" s="112"/>
      <x:c r="E10" s="112"/>
      <x:c r="F10" s="112"/>
      <x:c r="G10" s="112"/>
      <x:c r="H10" s="112"/>
      <x:c r="I10" s="112"/>
      <x:c r="J10" s="112"/>
      <x:c r="K10" s="112"/>
      <x:c r="L10" s="112"/>
      <x:c r="M10" s="112"/>
      <x:c r="N10" s="112"/>
      <x:c r="O10" s="112"/>
      <x:c r="P10" s="112"/>
      <x:c r="Q10" s="112"/>
      <x:c r="R10" s="53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1e6300df4574e1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5" hidden="0" customWidth="1"/>
  </x:cols>
  <x:sheetData>
    <x:row r="1" ht="30" customHeight="1">
      <x:c r="A1" s="5" t="str">
        <x:v>CONTROLE DE INTEGRIDADE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Conferência estrutural antes de usar a base no sistema.</x:v>
      </x:c>
      <x:c r="B2" s="12"/>
      <x:c r="C2" s="12"/>
      <x:c r="D2" s="12"/>
      <x:c r="E2" s="12"/>
      <x:c r="F2" s="12"/>
      <x:c r="G2" s="12"/>
      <x:c r="H2" s="12"/>
    </x:row>
    <x:row r="4" ht="30" customHeight="1">
      <x:c r="A4" s="24" t="str">
        <x:v>ABA</x:v>
      </x:c>
      <x:c r="B4" s="99" t="str">
        <x:v>LINHAS_ESPERADAS</x:v>
      </x:c>
      <x:c r="C4" s="99" t="str">
        <x:v>LINHAS_ENCONTRADAS</x:v>
      </x:c>
      <x:c r="D4" s="99" t="str">
        <x:v>VIGENCIA</x:v>
      </x:c>
      <x:c r="E4" s="99" t="str">
        <x:v>CODIGO</x:v>
      </x:c>
      <x:c r="F4" s="99" t="str">
        <x:v>STATUS</x:v>
      </x:c>
      <x:c r="G4" s="25" t="str">
        <x:v>OBSERVACAO</x:v>
      </x:c>
    </x:row>
    <x:row r="5">
      <x:c r="A5" s="48" t="str">
        <x:v>PAC_AVISTA</x:v>
      </x:c>
      <x:c r="B5" s="110" t="n">
        <x:v>24</x:v>
      </x:c>
      <x:c r="C5" s="110" t="n">
        <x:f>COUNTA('PAC_AVISTA'!A7:A500)</x:f>
        <x:v>24</x:v>
      </x:c>
      <x:c r="D5" s="110" t="str">
        <x:f>IF('PAC_AVISTA'!B3='01_CONFIG'!B9,"OK","REVISAR")</x:f>
        <x:v>OK</x:v>
      </x:c>
      <x:c r="E5" s="110" t="str">
        <x:f>IF('PAC_AVISTA'!D3="0451-0","OK","REVISAR")</x:f>
        <x:v>OK</x:v>
      </x:c>
      <x:c r="F5" s="110" t="str">
        <x:f>IF(AND(B5=C5,D5="OK",E5="OK"),"OK","REVISAR")</x:f>
        <x:v>OK</x:v>
      </x:c>
      <x:c r="G5" s="49" t="str"/>
    </x:row>
    <x:row r="6">
      <x:c r="A6" s="50" t="str">
        <x:v>SEDEX_AVISTA</x:v>
      </x:c>
      <x:c r="B6" s="111" t="n">
        <x:v>24</x:v>
      </x:c>
      <x:c r="C6" s="111" t="n">
        <x:f>COUNTA('SEDEX_AVISTA'!A7:A500)</x:f>
        <x:v>24</x:v>
      </x:c>
      <x:c r="D6" s="111" t="str">
        <x:f>IF('SEDEX_AVISTA'!B3='01_CONFIG'!B9,"OK","REVISAR")</x:f>
        <x:v>OK</x:v>
      </x:c>
      <x:c r="E6" s="111" t="str">
        <x:f>IF('SEDEX_AVISTA'!D3="0401-4","OK","REVISAR")</x:f>
        <x:v>OK</x:v>
      </x:c>
      <x:c r="F6" s="111" t="str">
        <x:f>IF(AND(B6=C6,D6="OK",E6="OK"),"OK","REVISAR")</x:f>
        <x:v>OK</x:v>
      </x:c>
      <x:c r="G6" s="51" t="str"/>
    </x:row>
    <x:row r="7">
      <x:c r="A7" s="50" t="str">
        <x:v>PAC_APP</x:v>
      </x:c>
      <x:c r="B7" s="111" t="n">
        <x:v>13</x:v>
      </x:c>
      <x:c r="C7" s="111" t="n">
        <x:f>COUNTA('PAC_APP'!A7:A500)</x:f>
        <x:v>13</x:v>
      </x:c>
      <x:c r="D7" s="111" t="str">
        <x:f>IF('PAC_APP'!B3='01_CONFIG'!B9,"OK","REVISAR")</x:f>
        <x:v>OK</x:v>
      </x:c>
      <x:c r="E7" s="111" t="str">
        <x:f>IF('PAC_APP'!D3="0339-5","OK","REVISAR")</x:f>
        <x:v>OK</x:v>
      </x:c>
      <x:c r="F7" s="111" t="str">
        <x:f>IF(AND(B7=C7,D7="OK",E7="OK"),"OK","REVISAR")</x:f>
        <x:v>OK</x:v>
      </x:c>
      <x:c r="G7" s="51" t="str"/>
    </x:row>
    <x:row r="8">
      <x:c r="A8" s="50" t="str">
        <x:v>SEDEX_APP</x:v>
      </x:c>
      <x:c r="B8" s="111" t="n">
        <x:v>13</x:v>
      </x:c>
      <x:c r="C8" s="111" t="n">
        <x:f>COUNTA('SEDEX_APP'!A7:A500)</x:f>
        <x:v>13</x:v>
      </x:c>
      <x:c r="D8" s="111" t="str">
        <x:f>IF('SEDEX_APP'!B3='01_CONFIG'!B9,"OK","REVISAR")</x:f>
        <x:v>OK</x:v>
      </x:c>
      <x:c r="E8" s="111" t="str">
        <x:f>IF('SEDEX_APP'!D3="4195-5","OK","REVISAR")</x:f>
        <x:v>OK</x:v>
      </x:c>
      <x:c r="F8" s="111" t="str">
        <x:f>IF(AND(B8=C8,D8="OK",E8="OK"),"OK","REVISAR")</x:f>
        <x:v>OK</x:v>
      </x:c>
      <x:c r="G8" s="51" t="str"/>
    </x:row>
    <x:row r="9">
      <x:c r="A9" s="50" t="str">
        <x:v>PAC_PLATINUM</x:v>
      </x:c>
      <x:c r="B9" s="111" t="n">
        <x:v>13</x:v>
      </x:c>
      <x:c r="C9" s="111" t="n">
        <x:f>COUNTA('PAC_PLATINUM'!A7:A500)</x:f>
        <x:v>13</x:v>
      </x:c>
      <x:c r="D9" s="111" t="str">
        <x:f>IF('PAC_PLATINUM'!B3='01_CONFIG'!B9,"OK","REVISAR")</x:f>
        <x:v>OK</x:v>
      </x:c>
      <x:c r="E9" s="111" t="str">
        <x:f>IF('PAC_PLATINUM'!D3="0329-8 / 0466-9","OK","REVISAR")</x:f>
        <x:v>OK</x:v>
      </x:c>
      <x:c r="F9" s="111" t="str">
        <x:f>IF(AND(B9=C9,D9="OK",E9="OK"),"OK","REVISAR")</x:f>
        <x:v>OK</x:v>
      </x:c>
      <x:c r="G9" s="51" t="str"/>
    </x:row>
    <x:row r="10">
      <x:c r="A10" s="50" t="str">
        <x:v>SEDEX_PLATINUM</x:v>
      </x:c>
      <x:c r="B10" s="111" t="n">
        <x:v>13</x:v>
      </x:c>
      <x:c r="C10" s="111" t="n">
        <x:f>COUNTA('SEDEX_PLATINUM'!A7:A500)</x:f>
        <x:v>13</x:v>
      </x:c>
      <x:c r="D10" s="111" t="str">
        <x:f>IF('SEDEX_PLATINUM'!B3='01_CONFIG'!B9,"OK","REVISAR")</x:f>
        <x:v>OK</x:v>
      </x:c>
      <x:c r="E10" s="111" t="str">
        <x:f>IF('SEDEX_PLATINUM'!D3="0322-0 / 0416-2","OK","REVISAR")</x:f>
        <x:v>OK</x:v>
      </x:c>
      <x:c r="F10" s="111" t="str">
        <x:f>IF(AND(B10=C10,D10="OK",E10="OK"),"OK","REVISAR")</x:f>
        <x:v>OK</x:v>
      </x:c>
      <x:c r="G10" s="51" t="str"/>
    </x:row>
    <x:row r="11">
      <x:c r="A11" s="52" t="str">
        <x:v>MINI_PLATINUM</x:v>
      </x:c>
      <x:c r="B11" s="112" t="n">
        <x:v>1</x:v>
      </x:c>
      <x:c r="C11" s="112" t="n">
        <x:f>COUNTA('MINI_PLATINUM'!A7:A500)</x:f>
        <x:v>1</x:v>
      </x:c>
      <x:c r="D11" s="112" t="str">
        <x:f>IF('MINI_PLATINUM'!B3='01_CONFIG'!B9,"OK","REVISAR")</x:f>
        <x:v>OK</x:v>
      </x:c>
      <x:c r="E11" s="112" t="str">
        <x:f>IF('MINI_PLATINUM'!D3="0422-7","OK","REVISAR")</x:f>
        <x:v>OK</x:v>
      </x:c>
      <x:c r="F11" s="112" t="str">
        <x:f>IF(AND(B11=C11,D11="OK",E11="OK"),"OK","REVISAR")</x:f>
        <x:v>OK</x:v>
      </x:c>
      <x:c r="G11" s="53" t="str"/>
    </x:row>
  </x:sheetData>
  <x:mergeCells>
    <x:mergeCell ref="A1:H1"/>
    <x:mergeCell ref="A2:H2"/>
  </x:mergeCells>
  <x:conditionalFormatting sqref="F5:F11">
    <x:cfRule type="expression" dxfId="2" priority="1">
      <x:formula>F5="OK"</x:formula>
    </x:cfRule>
    <x:cfRule type="expression" dxfId="3" priority="2">
      <x:formula>F5="REVISAR"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d712cd39f7441c"/>
  </x:tableParts>
</x:worksheet>
</file>